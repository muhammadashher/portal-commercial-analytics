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Rep Targets" sheetId="3" state="visible" r:id="rId5"/>
    <sheet name="Q3 Backtest" sheetId="4" state="visible" r:id="rId6"/>
    <sheet name="P&amp;L" sheetId="5" state="visible" r:id="rId7"/>
    <sheet name="Pric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<sst xmlns="http://schemas.openxmlformats.org/spreadsheetml/2006/main" count="210" uniqueCount="117">
  <si>
    <t xml:space="preserve">Q4 2026 Target &amp; Commercial Model</t>
  </si>
  <si>
    <t xml:space="preserve">Purpose: set fair Q4 2026 revenue targets for Property and Jobs inside-sales reps, track the P&amp;L and benchmark pricing.</t>
  </si>
  <si>
    <t xml:space="preserve">Method: each rep's Sep-2026 book is projected forward with their trailing churn plus their new-business run-rate, then scaled so the vertical total equals the company goal.</t>
  </si>
  <si>
    <t xml:space="preserve">How to use</t>
  </si>
  <si>
    <t xml:space="preserve">1. Change the growth goal (yellow cell) on the Assumptions sheet.</t>
  </si>
  <si>
    <t xml:space="preserve">2. Adjust any blue input on Rep Targets (e.g. a rep's churn) - all targets update.</t>
  </si>
  <si>
    <t xml:space="preserve">Colour legend</t>
  </si>
  <si>
    <t xml:space="preserve">Blue text = input or data from the pipeline</t>
  </si>
  <si>
    <t xml:space="preserve">Black text = formula</t>
  </si>
  <si>
    <t xml:space="preserve">Green text = link to another sheet</t>
  </si>
  <si>
    <t xml:space="preserve">Yellow fill = key lever to change</t>
  </si>
  <si>
    <t xml:space="preserve">Data: synthetic portal data generated by this project (Oct 2024 - Sep 2026). Competitor prices are illustrative.</t>
  </si>
  <si>
    <t xml:space="preserve">Assumptions</t>
  </si>
  <si>
    <t xml:space="preserve">Assumption</t>
  </si>
  <si>
    <t xml:space="preserve">Value</t>
  </si>
  <si>
    <t xml:space="preserve">Source / note</t>
  </si>
  <si>
    <t xml:space="preserve">Q4 2026 growth goal vs Q3 2026</t>
  </si>
  <si>
    <t xml:space="preserve">Company goal (config.py)</t>
  </si>
  <si>
    <t xml:space="preserve">Property Q3 2026 actual revenue</t>
  </si>
  <si>
    <t xml:space="preserve">Pipeline: rep_monthly, Jul-Sep 2026</t>
  </si>
  <si>
    <t xml:space="preserve">Jobs Q3 2026 actual revenue</t>
  </si>
  <si>
    <t xml:space="preserve">Property Q4 2026 goal</t>
  </si>
  <si>
    <t xml:space="preserve">Formula</t>
  </si>
  <si>
    <t xml:space="preserve">Jobs Q4 2026 goal</t>
  </si>
  <si>
    <t xml:space="preserve">Payment fee rate</t>
  </si>
  <si>
    <t xml:space="preserve">Assumption (config.py)</t>
  </si>
  <si>
    <t xml:space="preserve">Tech allocation rate</t>
  </si>
  <si>
    <t xml:space="preserve">Average listing utilization (Property, Q3 2026)</t>
  </si>
  <si>
    <t xml:space="preserve">Pipeline: account_monthly</t>
  </si>
  <si>
    <t xml:space="preserve">Leads per listing per month (Q3 2026)</t>
  </si>
  <si>
    <t xml:space="preserve">Q4 2026 Rep Targets (bottom-up capacity model)</t>
  </si>
  <si>
    <t xml:space="preserve">Rep</t>
  </si>
  <si>
    <t xml:space="preserve">Vertical</t>
  </si>
  <si>
    <t xml:space="preserve">Sep-26 book revenue</t>
  </si>
  <si>
    <t xml:space="preserve">Trailing monthly churn</t>
  </si>
  <si>
    <t xml:space="preserve">New-business run-rate / month</t>
  </si>
  <si>
    <t xml:space="preserve">Expected Oct</t>
  </si>
  <si>
    <t xml:space="preserve">Expected Nov</t>
  </si>
  <si>
    <t xml:space="preserve">Expected Dec</t>
  </si>
  <si>
    <t xml:space="preserve">Expected Q4</t>
  </si>
  <si>
    <t xml:space="preserve">Share of vertical</t>
  </si>
  <si>
    <t xml:space="preserve">Q4 target</t>
  </si>
  <si>
    <t xml:space="preserve">Target Oct</t>
  </si>
  <si>
    <t xml:space="preserve">Target Nov</t>
  </si>
  <si>
    <t xml:space="preserve">Target Dec</t>
  </si>
  <si>
    <t xml:space="preserve">PR01</t>
  </si>
  <si>
    <t xml:space="preserve">Property</t>
  </si>
  <si>
    <t xml:space="preserve">PR02</t>
  </si>
  <si>
    <t xml:space="preserve">PR03</t>
  </si>
  <si>
    <t xml:space="preserve">PR04</t>
  </si>
  <si>
    <t xml:space="preserve">PR05</t>
  </si>
  <si>
    <t xml:space="preserve">PR06</t>
  </si>
  <si>
    <t xml:space="preserve">PR07</t>
  </si>
  <si>
    <t xml:space="preserve">PR08</t>
  </si>
  <si>
    <t xml:space="preserve">PR09</t>
  </si>
  <si>
    <t xml:space="preserve">PR10</t>
  </si>
  <si>
    <t xml:space="preserve">PR11</t>
  </si>
  <si>
    <t xml:space="preserve">PR12</t>
  </si>
  <si>
    <t xml:space="preserve">JR01</t>
  </si>
  <si>
    <t xml:space="preserve">Jobs</t>
  </si>
  <si>
    <t xml:space="preserve">JR02</t>
  </si>
  <si>
    <t xml:space="preserve">JR03</t>
  </si>
  <si>
    <t xml:space="preserve">JR04</t>
  </si>
  <si>
    <t xml:space="preserve">JR05</t>
  </si>
  <si>
    <t xml:space="preserve">JR06</t>
  </si>
  <si>
    <t xml:space="preserve">Total Property</t>
  </si>
  <si>
    <t xml:space="preserve">Total Jobs</t>
  </si>
  <si>
    <t xml:space="preserve">Check: targets equal goal</t>
  </si>
  <si>
    <t xml:space="preserve">Q3 2026 Backtest: legacy equal-split vs bottom-up targets</t>
  </si>
  <si>
    <t xml:space="preserve">Actual Q3</t>
  </si>
  <si>
    <t xml:space="preserve">Legacy target</t>
  </si>
  <si>
    <t xml:space="preserve">Bottom-up target</t>
  </si>
  <si>
    <t xml:space="preserve">Legacy attainment</t>
  </si>
  <si>
    <t xml:space="preserve">Bottom-up attainment</t>
  </si>
  <si>
    <t xml:space="preserve">Min attainment</t>
  </si>
  <si>
    <t xml:space="preserve">Max attainment</t>
  </si>
  <si>
    <t xml:space="preserve">Std deviation</t>
  </si>
  <si>
    <t xml:space="preserve">Reps within +/-10%</t>
  </si>
  <si>
    <t xml:space="preserve">Monthly P&amp;L by vertical (last 12 months)</t>
  </si>
  <si>
    <t xml:space="preserve">Property (AED)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</si>
  <si>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</si>
  <si>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</si>
  <si>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</si>
  <si>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</si>
  <si>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</si>
  <si>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</si>
  <si>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</si>
  <si>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</si>
  <si>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</si>
  <si>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</si>
  <si>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</si>
  <si>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</si>
  <si>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</si>
  <si>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Net revenue</t>
  </si>
  <si>
    <t xml:space="preserve">Payment fees</t>
  </si>
  <si>
    <t xml:space="preserve">Tech allocation</t>
  </si>
  <si>
    <t xml:space="preserve">Sales team cost</t>
  </si>
  <si>
    <t xml:space="preserve">Commissions</t>
  </si>
  <si>
    <t xml:space="preserve">Marketing spend</t>
  </si>
  <si>
    <t xml:space="preserve">Contribution</t>
  </si>
  <si>
    <t xml:space="preserve">Contribution margin</t>
  </si>
  <si>
    <t xml:space="preserve">Jobs (AED)</t>
  </si>
  <si>
    <t xml:space="preserve">Cost-per-lead benchmark, Q3 2026 (illustrative competitor data)</t>
  </si>
  <si>
    <t xml:space="preserve">Portal</t>
  </si>
  <si>
    <t xml:space="preserve">Tier</t>
  </si>
  <si>
    <t xml:space="preserve">Monthly price</t>
  </si>
  <si>
    <t xml:space="preserve">Listing credits</t>
  </si>
  <si>
    <t xml:space="preserve">Lead index</t>
  </si>
  <si>
    <t xml:space="preserve">Leads / month</t>
  </si>
  <si>
    <t xml:space="preserve">Cost per lead</t>
  </si>
  <si>
    <t xml:space="preserve">vs our portal</t>
  </si>
  <si>
    <t xml:space="preserve">Competitor A</t>
  </si>
  <si>
    <t xml:space="preserve">Entry</t>
  </si>
  <si>
    <t xml:space="preserve">Competitor B</t>
  </si>
  <si>
    <t xml:space="preserve">Our Portal</t>
  </si>
  <si>
    <t xml:space="preserve">Mid</t>
  </si>
  <si>
    <t xml:space="preserve">Top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</si>
</sst>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General"/>
    <numFmt numFmtId="167" formatCode="0.0%"/>
    <numFmt numFmtId="168" formatCode="0.00"/>
    <numFmt numFmtId="169" formatCode="0.000"/>
    <numFmt numFmtId="170" formatCode="0"/>
    <numFmt numFmtId="171" formatCode="#,##0"/>
    <numFmt numFmtId="172" formatCode="\+0%;\-0%;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7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12</v>
      </c>
      <c r="B1" s="2"/>
      <c r="C1" s="2"/>
    </row>
    <row r="2" customFormat="false" ht="31.5" hidden="false" customHeight="true" outlineLevel="0" collapsed="false">
      <c r="A2" s="8" t="s">
        <v>13</v>
      </c>
      <c r="B2" s="8" t="s">
        <v>14</v>
      </c>
      <c r="C2" s="8" t="s">
        <v>15</v>
      </c>
    </row>
    <row r="3" customFormat="false" ht="15" hidden="false" customHeight="false" outlineLevel="0" collapsed="false">
      <c r="A3" s="3" t="s">
        <v>16</v>
      </c>
      <c r="B3" s="9" t="n">
        <v>0.1</v>
      </c>
      <c r="C3" s="10" t="s">
        <v>17</v>
      </c>
    </row>
    <row r="4" customFormat="false" ht="15" hidden="false" customHeight="false" outlineLevel="0" collapsed="false">
      <c r="A4" s="3" t="s">
        <v>18</v>
      </c>
      <c r="B4" s="11" t="n">
        <v>9250000</v>
      </c>
      <c r="C4" s="10" t="s">
        <v>19</v>
      </c>
    </row>
    <row r="5" customFormat="false" ht="15" hidden="false" customHeight="false" outlineLevel="0" collapsed="false">
      <c r="A5" s="3" t="s">
        <v>20</v>
      </c>
      <c r="B5" s="11" t="n">
        <v>2305288</v>
      </c>
      <c r="C5" s="10" t="s">
        <v>19</v>
      </c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3" t="s">
        <v>21</v>
      </c>
      <c r="B7" s="12" t="n">
        <f aca="false">B4*(1+B3)</f>
        <v>10175000</v>
      </c>
      <c r="C7" s="10" t="s">
        <v>22</v>
      </c>
    </row>
    <row r="8" customFormat="false" ht="15" hidden="false" customHeight="false" outlineLevel="0" collapsed="false">
      <c r="A8" s="3" t="s">
        <v>23</v>
      </c>
      <c r="B8" s="12" t="n">
        <f aca="false">B5*(1+B3)</f>
        <v>2535816.8</v>
      </c>
      <c r="C8" s="10" t="s">
        <v>22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24</v>
      </c>
      <c r="B10" s="13" t="n">
        <v>0.025</v>
      </c>
      <c r="C10" s="10" t="s">
        <v>25</v>
      </c>
    </row>
    <row r="11" customFormat="false" ht="15" hidden="false" customHeight="false" outlineLevel="0" collapsed="false">
      <c r="A11" s="3" t="s">
        <v>26</v>
      </c>
      <c r="B11" s="13" t="n">
        <v>0.18</v>
      </c>
      <c r="C11" s="10" t="s">
        <v>25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3" t="s">
        <v>27</v>
      </c>
      <c r="B13" s="14" t="n">
        <v>0.601</v>
      </c>
      <c r="C13" s="10" t="s">
        <v>28</v>
      </c>
    </row>
    <row r="14" customFormat="false" ht="15" hidden="false" customHeight="false" outlineLevel="0" collapsed="false">
      <c r="A14" s="3" t="s">
        <v>29</v>
      </c>
      <c r="B14" s="15" t="n">
        <v>3.809</v>
      </c>
      <c r="C14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4" min="12" style="0" width="15"/>
  </cols>
  <sheetData>
    <row r="1" customFormat="false" ht="17.35" hidden="false" customHeight="false" outlineLevel="0" collapsed="false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11" t="n">
        <v>235075</v>
      </c>
      <c r="D4" s="13" t="n">
        <v>0.008</v>
      </c>
      <c r="E4" s="11" t="n">
        <v>7121</v>
      </c>
      <c r="F4" s="16" t="n">
        <f aca="false">C4*(1-D4)+E4</f>
        <v>240315.4</v>
      </c>
      <c r="G4" s="16" t="n">
        <f aca="false">C4*(1-D4)^2+E4*((1-D4)+1)</f>
        <v>245513.8768</v>
      </c>
      <c r="H4" s="16" t="n">
        <f aca="false">C4*(1-D4)^3+E4*((1-D4)^2+(1-D4)+1)</f>
        <v>250670.7657856</v>
      </c>
      <c r="I4" s="16" t="n">
        <f aca="false">SUM(F4:H4)</f>
        <v>736500.0425856</v>
      </c>
      <c r="J4" s="17" t="n">
        <f aca="false">IFERROR(I4/SUMIF($B$4:$B$21,B4,$I$4:$I$21),0)</f>
        <v>0.0752857192311595</v>
      </c>
      <c r="K4" s="18" t="n">
        <f aca="false">J4*IF(B4="Property",Assumptions!$B$7,Assumptions!$B$8)</f>
        <v>766032.193177048</v>
      </c>
      <c r="L4" s="16" t="n">
        <f aca="false">IFERROR(K4*F4/I4,0)</f>
        <v>249951.557735075</v>
      </c>
      <c r="M4" s="16" t="n">
        <f aca="false">IFERROR(K4*G4/I4,0)</f>
        <v>255358.482859347</v>
      </c>
      <c r="N4" s="16" t="n">
        <f aca="false">IFERROR(K4*H4/I4,0)</f>
        <v>260722.152582626</v>
      </c>
    </row>
    <row r="5" customFormat="false" ht="15" hidden="false" customHeight="false" outlineLevel="0" collapsed="false">
      <c r="A5" s="3" t="s">
        <v>47</v>
      </c>
      <c r="B5" s="3" t="s">
        <v>46</v>
      </c>
      <c r="C5" s="11" t="n">
        <v>263300</v>
      </c>
      <c r="D5" s="13" t="n">
        <v>0.0181</v>
      </c>
      <c r="E5" s="11" t="n">
        <v>7767</v>
      </c>
      <c r="F5" s="16" t="n">
        <f aca="false">C5*(1-D5)+E5</f>
        <v>266301.27</v>
      </c>
      <c r="G5" s="16" t="n">
        <f aca="false">C5*(1-D5)^2+E5*((1-D5)+1)</f>
        <v>269248.217013</v>
      </c>
      <c r="H5" s="16" t="n">
        <f aca="false">C5*(1-D5)^3+E5*((1-D5)^2+(1-D5)+1)</f>
        <v>272141.824285065</v>
      </c>
      <c r="I5" s="16" t="n">
        <f aca="false">SUM(F5:H5)</f>
        <v>807691.311298065</v>
      </c>
      <c r="J5" s="17" t="n">
        <f aca="false">IFERROR(I5/SUMIF($B$4:$B$21,B5,$I$4:$I$21),0)</f>
        <v>0.0825629569203532</v>
      </c>
      <c r="K5" s="18" t="n">
        <f aca="false">J5*IF(B5="Property",Assumptions!$B$7,Assumptions!$B$8)</f>
        <v>840078.086664594</v>
      </c>
      <c r="L5" s="16" t="n">
        <f aca="false">IFERROR(K5*F5/I5,0)</f>
        <v>276979.408158315</v>
      </c>
      <c r="M5" s="16" t="n">
        <f aca="false">IFERROR(K5*G5/I5,0)</f>
        <v>280044.521740142</v>
      </c>
      <c r="N5" s="16" t="n">
        <f aca="false">IFERROR(K5*H5/I5,0)</f>
        <v>283054.156766137</v>
      </c>
    </row>
    <row r="6" customFormat="false" ht="15" hidden="false" customHeight="false" outlineLevel="0" collapsed="false">
      <c r="A6" s="3" t="s">
        <v>48</v>
      </c>
      <c r="B6" s="3" t="s">
        <v>46</v>
      </c>
      <c r="C6" s="11" t="n">
        <v>271825</v>
      </c>
      <c r="D6" s="13" t="n">
        <v>0.0101</v>
      </c>
      <c r="E6" s="11" t="n">
        <v>6454</v>
      </c>
      <c r="F6" s="16" t="n">
        <f aca="false">C6*(1-D6)+E6</f>
        <v>275533.5675</v>
      </c>
      <c r="G6" s="16" t="n">
        <f aca="false">C6*(1-D6)^2+E6*((1-D6)+1)</f>
        <v>279204.67846825</v>
      </c>
      <c r="H6" s="16" t="n">
        <f aca="false">C6*(1-D6)^3+E6*((1-D6)^2+(1-D6)+1)</f>
        <v>282838.711215721</v>
      </c>
      <c r="I6" s="16" t="n">
        <f aca="false">SUM(F6:H6)</f>
        <v>837576.957183971</v>
      </c>
      <c r="J6" s="17" t="n">
        <f aca="false">IFERROR(I6/SUMIF($B$4:$B$21,B6,$I$4:$I$21),0)</f>
        <v>0.0856178954337432</v>
      </c>
      <c r="K6" s="18" t="n">
        <f aca="false">J6*IF(B6="Property",Assumptions!$B$7,Assumptions!$B$8)</f>
        <v>871162.086038337</v>
      </c>
      <c r="L6" s="16" t="n">
        <f aca="false">IFERROR(K6*F6/I6,0)</f>
        <v>286581.901971024</v>
      </c>
      <c r="M6" s="16" t="n">
        <f aca="false">IFERROR(K6*G6/I6,0)</f>
        <v>290400.217006733</v>
      </c>
      <c r="N6" s="16" t="n">
        <f aca="false">IFERROR(K6*H6/I6,0)</f>
        <v>294179.967060581</v>
      </c>
    </row>
    <row r="7" customFormat="false" ht="15" hidden="false" customHeight="false" outlineLevel="0" collapsed="false">
      <c r="A7" s="3" t="s">
        <v>49</v>
      </c>
      <c r="B7" s="3" t="s">
        <v>46</v>
      </c>
      <c r="C7" s="11" t="n">
        <v>158200</v>
      </c>
      <c r="D7" s="13" t="n">
        <v>0.0108</v>
      </c>
      <c r="E7" s="11" t="n">
        <v>4450</v>
      </c>
      <c r="F7" s="16" t="n">
        <f aca="false">C7*(1-D7)+E7</f>
        <v>160941.44</v>
      </c>
      <c r="G7" s="16" t="n">
        <f aca="false">C7*(1-D7)^2+E7*((1-D7)+1)</f>
        <v>163653.272448</v>
      </c>
      <c r="H7" s="16" t="n">
        <f aca="false">C7*(1-D7)^3+E7*((1-D7)^2+(1-D7)+1)</f>
        <v>166335.817105562</v>
      </c>
      <c r="I7" s="16" t="n">
        <f aca="false">SUM(F7:H7)</f>
        <v>490930.529553562</v>
      </c>
      <c r="J7" s="17" t="n">
        <f aca="false">IFERROR(I7/SUMIF($B$4:$B$21,B7,$I$4:$I$21),0)</f>
        <v>0.0501833752517105</v>
      </c>
      <c r="K7" s="18" t="n">
        <f aca="false">J7*IF(B7="Property",Assumptions!$B$7,Assumptions!$B$8)</f>
        <v>510615.843186154</v>
      </c>
      <c r="L7" s="16" t="n">
        <f aca="false">IFERROR(K7*F7/I7,0)</f>
        <v>167394.863717124</v>
      </c>
      <c r="M7" s="16" t="n">
        <f aca="false">IFERROR(K7*G7/I7,0)</f>
        <v>170215.435119099</v>
      </c>
      <c r="N7" s="16" t="n">
        <f aca="false">IFERROR(K7*H7/I7,0)</f>
        <v>173005.544349932</v>
      </c>
    </row>
    <row r="8" customFormat="false" ht="15" hidden="false" customHeight="false" outlineLevel="0" collapsed="false">
      <c r="A8" s="3" t="s">
        <v>50</v>
      </c>
      <c r="B8" s="3" t="s">
        <v>46</v>
      </c>
      <c r="C8" s="11" t="n">
        <v>280550</v>
      </c>
      <c r="D8" s="13" t="n">
        <v>0.0267</v>
      </c>
      <c r="E8" s="11" t="n">
        <v>9650</v>
      </c>
      <c r="F8" s="16" t="n">
        <f aca="false">C8*(1-D8)+E8</f>
        <v>282709.315</v>
      </c>
      <c r="G8" s="16" t="n">
        <f aca="false">C8*(1-D8)^2+E8*((1-D8)+1)</f>
        <v>284810.9762895</v>
      </c>
      <c r="H8" s="16" t="n">
        <f aca="false">C8*(1-D8)^3+E8*((1-D8)^2+(1-D8)+1)</f>
        <v>286856.52322257</v>
      </c>
      <c r="I8" s="16" t="n">
        <f aca="false">SUM(F8:H8)</f>
        <v>854376.81451207</v>
      </c>
      <c r="J8" s="17" t="n">
        <f aca="false">IFERROR(I8/SUMIF($B$4:$B$21,B8,$I$4:$I$21),0)</f>
        <v>0.0873351924721611</v>
      </c>
      <c r="K8" s="18" t="n">
        <f aca="false">J8*IF(B8="Property",Assumptions!$B$7,Assumptions!$B$8)</f>
        <v>888635.583404239</v>
      </c>
      <c r="L8" s="16" t="n">
        <f aca="false">IFERROR(K8*F8/I8,0)</f>
        <v>294045.382320342</v>
      </c>
      <c r="M8" s="16" t="n">
        <f aca="false">IFERROR(K8*G8/I8,0)</f>
        <v>296231.315943997</v>
      </c>
      <c r="N8" s="16" t="n">
        <f aca="false">IFERROR(K8*H8/I8,0)</f>
        <v>298358.8851399</v>
      </c>
    </row>
    <row r="9" customFormat="false" ht="15" hidden="false" customHeight="false" outlineLevel="0" collapsed="false">
      <c r="A9" s="3" t="s">
        <v>51</v>
      </c>
      <c r="B9" s="3" t="s">
        <v>46</v>
      </c>
      <c r="C9" s="11" t="n">
        <v>216900</v>
      </c>
      <c r="D9" s="13" t="n">
        <v>0.0217</v>
      </c>
      <c r="E9" s="11" t="n">
        <v>5358</v>
      </c>
      <c r="F9" s="16" t="n">
        <f aca="false">C9*(1-D9)+E9</f>
        <v>217551.27</v>
      </c>
      <c r="G9" s="16" t="n">
        <f aca="false">C9*(1-D9)^2+E9*((1-D9)+1)</f>
        <v>218188.407441</v>
      </c>
      <c r="H9" s="16" t="n">
        <f aca="false">C9*(1-D9)^3+E9*((1-D9)^2+(1-D9)+1)</f>
        <v>218811.71899953</v>
      </c>
      <c r="I9" s="16" t="n">
        <f aca="false">SUM(F9:H9)</f>
        <v>654551.39644053</v>
      </c>
      <c r="J9" s="17" t="n">
        <f aca="false">IFERROR(I9/SUMIF($B$4:$B$21,B9,$I$4:$I$21),0)</f>
        <v>0.0669088524174223</v>
      </c>
      <c r="K9" s="18" t="n">
        <f aca="false">J9*IF(B9="Property",Assumptions!$B$7,Assumptions!$B$8)</f>
        <v>680797.573347272</v>
      </c>
      <c r="L9" s="16" t="n">
        <f aca="false">IFERROR(K9*F9/I9,0)</f>
        <v>226274.632519363</v>
      </c>
      <c r="M9" s="16" t="n">
        <f aca="false">IFERROR(K9*G9/I9,0)</f>
        <v>226937.31787315</v>
      </c>
      <c r="N9" s="16" t="n">
        <f aca="false">IFERROR(K9*H9/I9,0)</f>
        <v>227585.622954759</v>
      </c>
    </row>
    <row r="10" customFormat="false" ht="15" hidden="false" customHeight="false" outlineLevel="0" collapsed="false">
      <c r="A10" s="3" t="s">
        <v>52</v>
      </c>
      <c r="B10" s="3" t="s">
        <v>46</v>
      </c>
      <c r="C10" s="11" t="n">
        <v>412500</v>
      </c>
      <c r="D10" s="13" t="n">
        <v>0.0287</v>
      </c>
      <c r="E10" s="11" t="n">
        <v>12512</v>
      </c>
      <c r="F10" s="16" t="n">
        <f aca="false">C10*(1-D10)+E10</f>
        <v>413173.25</v>
      </c>
      <c r="G10" s="16" t="n">
        <f aca="false">C10*(1-D10)^2+E10*((1-D10)+1)</f>
        <v>413827.177725</v>
      </c>
      <c r="H10" s="16" t="n">
        <f aca="false">C10*(1-D10)^3+E10*((1-D10)^2+(1-D10)+1)</f>
        <v>414462.337724293</v>
      </c>
      <c r="I10" s="16" t="n">
        <f aca="false">SUM(F10:H10)</f>
        <v>1241462.76544929</v>
      </c>
      <c r="J10" s="17" t="n">
        <f aca="false">IFERROR(I10/SUMIF($B$4:$B$21,B10,$I$4:$I$21),0)</f>
        <v>0.126903478331695</v>
      </c>
      <c r="K10" s="18" t="n">
        <f aca="false">J10*IF(B10="Property",Assumptions!$B$7,Assumptions!$B$8)</f>
        <v>1291242.892025</v>
      </c>
      <c r="L10" s="16" t="n">
        <f aca="false">IFERROR(K10*F10/I10,0)</f>
        <v>429740.655205465</v>
      </c>
      <c r="M10" s="16" t="n">
        <f aca="false">IFERROR(K10*G10/I10,0)</f>
        <v>430420.804099419</v>
      </c>
      <c r="N10" s="16" t="n">
        <f aca="false">IFERROR(K10*H10/I10,0)</f>
        <v>431081.432720115</v>
      </c>
    </row>
    <row r="11" customFormat="false" ht="15" hidden="false" customHeight="false" outlineLevel="0" collapsed="false">
      <c r="A11" s="3" t="s">
        <v>53</v>
      </c>
      <c r="B11" s="3" t="s">
        <v>46</v>
      </c>
      <c r="C11" s="11" t="n">
        <v>270150</v>
      </c>
      <c r="D11" s="13" t="n">
        <v>0.0108</v>
      </c>
      <c r="E11" s="11" t="n">
        <v>8879</v>
      </c>
      <c r="F11" s="16" t="n">
        <f aca="false">C11*(1-D11)+E11</f>
        <v>276111.38</v>
      </c>
      <c r="G11" s="16" t="n">
        <f aca="false">C11*(1-D11)^2+E11*((1-D11)+1)</f>
        <v>282008.377096</v>
      </c>
      <c r="H11" s="16" t="n">
        <f aca="false">C11*(1-D11)^3+E11*((1-D11)^2+(1-D11)+1)</f>
        <v>287841.686623363</v>
      </c>
      <c r="I11" s="16" t="n">
        <f aca="false">SUM(F11:H11)</f>
        <v>845961.443719363</v>
      </c>
      <c r="J11" s="17" t="n">
        <f aca="false">IFERROR(I11/SUMIF($B$4:$B$21,B11,$I$4:$I$21),0)</f>
        <v>0.086474965444201</v>
      </c>
      <c r="K11" s="18" t="n">
        <f aca="false">J11*IF(B11="Property",Assumptions!$B$7,Assumptions!$B$8)</f>
        <v>879882.773394745</v>
      </c>
      <c r="L11" s="16" t="n">
        <f aca="false">IFERROR(K11*F11/I11,0)</f>
        <v>287182.883574591</v>
      </c>
      <c r="M11" s="16" t="n">
        <f aca="false">IFERROR(K11*G11/I11,0)</f>
        <v>293316.338235026</v>
      </c>
      <c r="N11" s="16" t="n">
        <f aca="false">IFERROR(K11*H11/I11,0)</f>
        <v>299383.551585129</v>
      </c>
    </row>
    <row r="12" customFormat="false" ht="15" hidden="false" customHeight="false" outlineLevel="0" collapsed="false">
      <c r="A12" s="3" t="s">
        <v>54</v>
      </c>
      <c r="B12" s="3" t="s">
        <v>46</v>
      </c>
      <c r="C12" s="11" t="n">
        <v>322900</v>
      </c>
      <c r="D12" s="13" t="n">
        <v>0.014</v>
      </c>
      <c r="E12" s="11" t="n">
        <v>7354</v>
      </c>
      <c r="F12" s="16" t="n">
        <f aca="false">C12*(1-D12)+E12</f>
        <v>325733.4</v>
      </c>
      <c r="G12" s="16" t="n">
        <f aca="false">C12*(1-D12)^2+E12*((1-D12)+1)</f>
        <v>328527.1324</v>
      </c>
      <c r="H12" s="16" t="n">
        <f aca="false">C12*(1-D12)^3+E12*((1-D12)^2+(1-D12)+1)</f>
        <v>331281.7525464</v>
      </c>
      <c r="I12" s="16" t="n">
        <f aca="false">SUM(F12:H12)</f>
        <v>985542.2849464</v>
      </c>
      <c r="J12" s="17" t="n">
        <f aca="false">IFERROR(I12/SUMIF($B$4:$B$21,B12,$I$4:$I$21),0)</f>
        <v>0.100743048831917</v>
      </c>
      <c r="K12" s="18" t="n">
        <f aca="false">J12*IF(B12="Property",Assumptions!$B$7,Assumptions!$B$8)</f>
        <v>1025060.52186476</v>
      </c>
      <c r="L12" s="16" t="n">
        <f aca="false">IFERROR(K12*F12/I12,0)</f>
        <v>338794.645438213</v>
      </c>
      <c r="M12" s="16" t="n">
        <f aca="false">IFERROR(K12*G12/I12,0)</f>
        <v>341700.400813336</v>
      </c>
      <c r="N12" s="16" t="n">
        <f aca="false">IFERROR(K12*H12/I12,0)</f>
        <v>344565.475613208</v>
      </c>
    </row>
    <row r="13" customFormat="false" ht="15" hidden="false" customHeight="false" outlineLevel="0" collapsed="false">
      <c r="A13" s="3" t="s">
        <v>55</v>
      </c>
      <c r="B13" s="3" t="s">
        <v>46</v>
      </c>
      <c r="C13" s="11" t="n">
        <v>292200</v>
      </c>
      <c r="D13" s="13" t="n">
        <v>0.0262</v>
      </c>
      <c r="E13" s="11" t="n">
        <v>12608</v>
      </c>
      <c r="F13" s="16" t="n">
        <f aca="false">C13*(1-D13)+E13</f>
        <v>297152.36</v>
      </c>
      <c r="G13" s="16" t="n">
        <f aca="false">C13*(1-D13)^2+E13*((1-D13)+1)</f>
        <v>301974.968168</v>
      </c>
      <c r="H13" s="16" t="n">
        <f aca="false">C13*(1-D13)^3+E13*((1-D13)^2+(1-D13)+1)</f>
        <v>306671.224001998</v>
      </c>
      <c r="I13" s="16" t="n">
        <f aca="false">SUM(F13:H13)</f>
        <v>905798.552169998</v>
      </c>
      <c r="J13" s="17" t="n">
        <f aca="false">IFERROR(I13/SUMIF($B$4:$B$21,B13,$I$4:$I$21),0)</f>
        <v>0.092591570313094</v>
      </c>
      <c r="K13" s="18" t="n">
        <f aca="false">J13*IF(B13="Property",Assumptions!$B$7,Assumptions!$B$8)</f>
        <v>942119.227935732</v>
      </c>
      <c r="L13" s="16" t="n">
        <f aca="false">IFERROR(K13*F13/I13,0)</f>
        <v>309067.563987384</v>
      </c>
      <c r="M13" s="16" t="n">
        <f aca="false">IFERROR(K13*G13/I13,0)</f>
        <v>314083.548913599</v>
      </c>
      <c r="N13" s="16" t="n">
        <f aca="false">IFERROR(K13*H13/I13,0)</f>
        <v>318968.115034748</v>
      </c>
    </row>
    <row r="14" customFormat="false" ht="15" hidden="false" customHeight="false" outlineLevel="0" collapsed="false">
      <c r="A14" s="3" t="s">
        <v>56</v>
      </c>
      <c r="B14" s="3" t="s">
        <v>46</v>
      </c>
      <c r="C14" s="11" t="n">
        <v>301500</v>
      </c>
      <c r="D14" s="13" t="n">
        <v>0.0059</v>
      </c>
      <c r="E14" s="11" t="n">
        <v>6075</v>
      </c>
      <c r="F14" s="16" t="n">
        <f aca="false">C14*(1-D14)+E14</f>
        <v>305796.15</v>
      </c>
      <c r="G14" s="16" t="n">
        <f aca="false">C14*(1-D14)^2+E14*((1-D14)+1)</f>
        <v>310066.952715</v>
      </c>
      <c r="H14" s="16" t="n">
        <f aca="false">C14*(1-D14)^3+E14*((1-D14)^2+(1-D14)+1)</f>
        <v>314312.557693982</v>
      </c>
      <c r="I14" s="16" t="n">
        <f aca="false">SUM(F14:H14)</f>
        <v>930175.660408982</v>
      </c>
      <c r="J14" s="17" t="n">
        <f aca="false">IFERROR(I14/SUMIF($B$4:$B$21,B14,$I$4:$I$21),0)</f>
        <v>0.0950834209857766</v>
      </c>
      <c r="K14" s="18" t="n">
        <f aca="false">J14*IF(B14="Property",Assumptions!$B$7,Assumptions!$B$8)</f>
        <v>967473.808530277</v>
      </c>
      <c r="L14" s="16" t="n">
        <f aca="false">IFERROR(K14*F14/I14,0)</f>
        <v>318057.952348824</v>
      </c>
      <c r="M14" s="16" t="n">
        <f aca="false">IFERROR(K14*G14/I14,0)</f>
        <v>322500.005548051</v>
      </c>
      <c r="N14" s="16" t="n">
        <f aca="false">IFERROR(K14*H14/I14,0)</f>
        <v>326915.850633402</v>
      </c>
    </row>
    <row r="15" customFormat="false" ht="15" hidden="false" customHeight="false" outlineLevel="0" collapsed="false">
      <c r="A15" s="3" t="s">
        <v>57</v>
      </c>
      <c r="B15" s="3" t="s">
        <v>46</v>
      </c>
      <c r="C15" s="11" t="n">
        <v>166400</v>
      </c>
      <c r="D15" s="13" t="n">
        <v>0.0222</v>
      </c>
      <c r="E15" s="11" t="n">
        <v>2504</v>
      </c>
      <c r="F15" s="16" t="n">
        <f aca="false">C15*(1-D15)+E15</f>
        <v>165209.92</v>
      </c>
      <c r="G15" s="16" t="n">
        <f aca="false">C15*(1-D15)^2+E15*((1-D15)+1)</f>
        <v>164046.259776</v>
      </c>
      <c r="H15" s="16" t="n">
        <f aca="false">C15*(1-D15)^3+E15*((1-D15)^2+(1-D15)+1)</f>
        <v>162908.432808973</v>
      </c>
      <c r="I15" s="16" t="n">
        <f aca="false">SUM(F15:H15)</f>
        <v>492164.612584973</v>
      </c>
      <c r="J15" s="17" t="n">
        <f aca="false">IFERROR(I15/SUMIF($B$4:$B$21,B15,$I$4:$I$21),0)</f>
        <v>0.0503095243667663</v>
      </c>
      <c r="K15" s="18" t="n">
        <f aca="false">J15*IF(B15="Property",Assumptions!$B$7,Assumptions!$B$8)</f>
        <v>511899.410431847</v>
      </c>
      <c r="L15" s="16" t="n">
        <f aca="false">IFERROR(K15*F15/I15,0)</f>
        <v>171834.501065213</v>
      </c>
      <c r="M15" s="16" t="n">
        <f aca="false">IFERROR(K15*G15/I15,0)</f>
        <v>170624.180437974</v>
      </c>
      <c r="N15" s="16" t="n">
        <f aca="false">IFERROR(K15*H15/I15,0)</f>
        <v>169440.72892866</v>
      </c>
    </row>
    <row r="16" customFormat="false" ht="15" hidden="false" customHeight="false" outlineLevel="0" collapsed="false">
      <c r="A16" s="3" t="s">
        <v>58</v>
      </c>
      <c r="B16" s="3" t="s">
        <v>59</v>
      </c>
      <c r="C16" s="11" t="n">
        <v>90502</v>
      </c>
      <c r="D16" s="13" t="n">
        <v>0.0182</v>
      </c>
      <c r="E16" s="11" t="n">
        <v>1578</v>
      </c>
      <c r="F16" s="16" t="n">
        <f aca="false">C16*(1-D16)+E16</f>
        <v>90432.8636</v>
      </c>
      <c r="G16" s="16" t="n">
        <f aca="false">C16*(1-D16)^2+E16*((1-D16)+1)</f>
        <v>90364.98548248</v>
      </c>
      <c r="H16" s="16" t="n">
        <f aca="false">C16*(1-D16)^3+E16*((1-D16)^2+(1-D16)+1)</f>
        <v>90298.3427466989</v>
      </c>
      <c r="I16" s="16" t="n">
        <f aca="false">SUM(F16:H16)</f>
        <v>271096.191829179</v>
      </c>
      <c r="J16" s="17" t="n">
        <f aca="false">IFERROR(I16/SUMIF($B$4:$B$21,B16,$I$4:$I$21),0)</f>
        <v>0.11251703254418</v>
      </c>
      <c r="K16" s="18" t="n">
        <f aca="false">J16*IF(B16="Property",Assumptions!$B$7,Assumptions!$B$8)</f>
        <v>285322.581411679</v>
      </c>
      <c r="L16" s="16" t="n">
        <f aca="false">IFERROR(K16*F16/I16,0)</f>
        <v>95178.5339096934</v>
      </c>
      <c r="M16" s="16" t="n">
        <f aca="false">IFERROR(K16*G16/I16,0)</f>
        <v>95107.0937334906</v>
      </c>
      <c r="N16" s="16" t="n">
        <f aca="false">IFERROR(K16*H16/I16,0)</f>
        <v>95036.9537684947</v>
      </c>
    </row>
    <row r="17" customFormat="false" ht="15" hidden="false" customHeight="false" outlineLevel="0" collapsed="false">
      <c r="A17" s="3" t="s">
        <v>60</v>
      </c>
      <c r="B17" s="3" t="s">
        <v>59</v>
      </c>
      <c r="C17" s="11" t="n">
        <v>198745</v>
      </c>
      <c r="D17" s="13" t="n">
        <v>0.0117</v>
      </c>
      <c r="E17" s="11" t="n">
        <v>5324</v>
      </c>
      <c r="F17" s="16" t="n">
        <f aca="false">C17*(1-D17)+E17</f>
        <v>201743.6835</v>
      </c>
      <c r="G17" s="16" t="n">
        <f aca="false">C17*(1-D17)^2+E17*((1-D17)+1)</f>
        <v>204707.28240305</v>
      </c>
      <c r="H17" s="16" t="n">
        <f aca="false">C17*(1-D17)^3+E17*((1-D17)^2+(1-D17)+1)</f>
        <v>207636.207198934</v>
      </c>
      <c r="I17" s="16" t="n">
        <f aca="false">SUM(F17:H17)</f>
        <v>614087.173101984</v>
      </c>
      <c r="J17" s="17" t="n">
        <f aca="false">IFERROR(I17/SUMIF($B$4:$B$21,B17,$I$4:$I$21),0)</f>
        <v>0.254873615061392</v>
      </c>
      <c r="K17" s="18" t="n">
        <f aca="false">J17*IF(B17="Property",Assumptions!$B$7,Assumptions!$B$8)</f>
        <v>646312.794949412</v>
      </c>
      <c r="L17" s="16" t="n">
        <f aca="false">IFERROR(K17*F17/I17,0)</f>
        <v>212330.642386859</v>
      </c>
      <c r="M17" s="16" t="n">
        <f aca="false">IFERROR(K17*G17/I17,0)</f>
        <v>215449.762886419</v>
      </c>
      <c r="N17" s="16" t="n">
        <f aca="false">IFERROR(K17*H17/I17,0)</f>
        <v>218532.389676134</v>
      </c>
    </row>
    <row r="18" customFormat="false" ht="15" hidden="false" customHeight="false" outlineLevel="0" collapsed="false">
      <c r="A18" s="3" t="s">
        <v>61</v>
      </c>
      <c r="B18" s="3" t="s">
        <v>59</v>
      </c>
      <c r="C18" s="11" t="n">
        <v>65102</v>
      </c>
      <c r="D18" s="13" t="n">
        <v>0.034</v>
      </c>
      <c r="E18" s="11" t="n">
        <v>2586</v>
      </c>
      <c r="F18" s="16" t="n">
        <f aca="false">C18*(1-D18)+E18</f>
        <v>65474.532</v>
      </c>
      <c r="G18" s="16" t="n">
        <f aca="false">C18*(1-D18)^2+E18*((1-D18)+1)</f>
        <v>65834.397912</v>
      </c>
      <c r="H18" s="16" t="n">
        <f aca="false">C18*(1-D18)^3+E18*((1-D18)^2+(1-D18)+1)</f>
        <v>66182.028382992</v>
      </c>
      <c r="I18" s="16" t="n">
        <f aca="false">SUM(F18:H18)</f>
        <v>197490.958294992</v>
      </c>
      <c r="J18" s="17" t="n">
        <f aca="false">IFERROR(I18/SUMIF($B$4:$B$21,B18,$I$4:$I$21),0)</f>
        <v>0.0819675718486696</v>
      </c>
      <c r="K18" s="18" t="n">
        <f aca="false">J18*IF(B18="Property",Assumptions!$B$7,Assumptions!$B$8)</f>
        <v>207854.745749063</v>
      </c>
      <c r="L18" s="16" t="n">
        <f aca="false">IFERROR(K18*F18/I18,0)</f>
        <v>68910.4570629045</v>
      </c>
      <c r="M18" s="16" t="n">
        <f aca="false">IFERROR(K18*G18/I18,0)</f>
        <v>69289.2077575606</v>
      </c>
      <c r="N18" s="16" t="n">
        <f aca="false">IFERROR(K18*H18/I18,0)</f>
        <v>69655.0809285983</v>
      </c>
    </row>
    <row r="19" customFormat="false" ht="15" hidden="false" customHeight="false" outlineLevel="0" collapsed="false">
      <c r="A19" s="3" t="s">
        <v>62</v>
      </c>
      <c r="B19" s="3" t="s">
        <v>59</v>
      </c>
      <c r="C19" s="11" t="n">
        <v>79537</v>
      </c>
      <c r="D19" s="13" t="n">
        <v>0.0301</v>
      </c>
      <c r="E19" s="11" t="n">
        <v>5746</v>
      </c>
      <c r="F19" s="16" t="n">
        <f aca="false">C19*(1-D19)+E19</f>
        <v>82888.9363</v>
      </c>
      <c r="G19" s="16" t="n">
        <f aca="false">C19*(1-D19)^2+E19*((1-D19)+1)</f>
        <v>86139.97931737</v>
      </c>
      <c r="H19" s="16" t="n">
        <f aca="false">C19*(1-D19)^3+E19*((1-D19)^2+(1-D19)+1)</f>
        <v>89293.1659399172</v>
      </c>
      <c r="I19" s="16" t="n">
        <f aca="false">SUM(F19:H19)</f>
        <v>258322.081557287</v>
      </c>
      <c r="J19" s="17" t="n">
        <f aca="false">IFERROR(I19/SUMIF($B$4:$B$21,B19,$I$4:$I$21),0)</f>
        <v>0.107215206017266</v>
      </c>
      <c r="K19" s="18" t="n">
        <f aca="false">J19*IF(B19="Property",Assumptions!$B$7,Assumptions!$B$8)</f>
        <v>271878.120634044</v>
      </c>
      <c r="L19" s="16" t="n">
        <f aca="false">IFERROR(K19*F19/I19,0)</f>
        <v>87238.721857393</v>
      </c>
      <c r="M19" s="16" t="n">
        <f aca="false">IFERROR(K19*G19/I19,0)</f>
        <v>90660.3707552902</v>
      </c>
      <c r="N19" s="16" t="n">
        <f aca="false">IFERROR(K19*H19/I19,0)</f>
        <v>93979.0280213606</v>
      </c>
    </row>
    <row r="20" customFormat="false" ht="15" hidden="false" customHeight="false" outlineLevel="0" collapsed="false">
      <c r="A20" s="3" t="s">
        <v>63</v>
      </c>
      <c r="B20" s="3" t="s">
        <v>59</v>
      </c>
      <c r="C20" s="11" t="n">
        <v>147905</v>
      </c>
      <c r="D20" s="13" t="n">
        <v>0.0173</v>
      </c>
      <c r="E20" s="11" t="n">
        <v>6304</v>
      </c>
      <c r="F20" s="16" t="n">
        <f aca="false">C20*(1-D20)+E20</f>
        <v>151650.2435</v>
      </c>
      <c r="G20" s="16" t="n">
        <f aca="false">C20*(1-D20)^2+E20*((1-D20)+1)</f>
        <v>155330.69428745</v>
      </c>
      <c r="H20" s="16" t="n">
        <f aca="false">C20*(1-D20)^3+E20*((1-D20)^2+(1-D20)+1)</f>
        <v>158947.473276277</v>
      </c>
      <c r="I20" s="16" t="n">
        <f aca="false">SUM(F20:H20)</f>
        <v>465928.411063727</v>
      </c>
      <c r="J20" s="17" t="n">
        <f aca="false">IFERROR(I20/SUMIF($B$4:$B$21,B20,$I$4:$I$21),0)</f>
        <v>0.193381108886801</v>
      </c>
      <c r="K20" s="18" t="n">
        <f aca="false">J20*IF(B20="Property",Assumptions!$B$7,Assumptions!$B$8)</f>
        <v>490379.064717779</v>
      </c>
      <c r="L20" s="16" t="n">
        <f aca="false">IFERROR(K20*F20/I20,0)</f>
        <v>159608.435128422</v>
      </c>
      <c r="M20" s="16" t="n">
        <f aca="false">IFERROR(K20*G20/I20,0)</f>
        <v>163482.02594631</v>
      </c>
      <c r="N20" s="16" t="n">
        <f aca="false">IFERROR(K20*H20/I20,0)</f>
        <v>167288.603643048</v>
      </c>
    </row>
    <row r="21" customFormat="false" ht="15" hidden="false" customHeight="false" outlineLevel="0" collapsed="false">
      <c r="A21" s="3" t="s">
        <v>64</v>
      </c>
      <c r="B21" s="3" t="s">
        <v>59</v>
      </c>
      <c r="C21" s="11" t="n">
        <v>207369</v>
      </c>
      <c r="D21" s="13" t="n">
        <v>0.0278</v>
      </c>
      <c r="E21" s="11" t="n">
        <v>2428</v>
      </c>
      <c r="F21" s="16" t="n">
        <f aca="false">C21*(1-D21)+E21</f>
        <v>204032.1418</v>
      </c>
      <c r="G21" s="16" t="n">
        <f aca="false">C21*(1-D21)^2+E21*((1-D21)+1)</f>
        <v>200788.04825796</v>
      </c>
      <c r="H21" s="16" t="n">
        <f aca="false">C21*(1-D21)^3+E21*((1-D21)^2+(1-D21)+1)</f>
        <v>197634.140516389</v>
      </c>
      <c r="I21" s="16" t="n">
        <f aca="false">SUM(F21:H21)</f>
        <v>602454.330574349</v>
      </c>
      <c r="J21" s="17" t="n">
        <f aca="false">IFERROR(I21/SUMIF($B$4:$B$21,B21,$I$4:$I$21),0)</f>
        <v>0.250045465641691</v>
      </c>
      <c r="K21" s="18" t="n">
        <f aca="false">J21*IF(B21="Property",Assumptions!$B$7,Assumptions!$B$8)</f>
        <v>634069.492538023</v>
      </c>
      <c r="L21" s="16" t="n">
        <f aca="false">IFERROR(K21*F21/I21,0)</f>
        <v>214739.19274385</v>
      </c>
      <c r="M21" s="16" t="n">
        <f aca="false">IFERROR(K21*G21/I21,0)</f>
        <v>211324.858010815</v>
      </c>
      <c r="N21" s="16" t="n">
        <f aca="false">IFERROR(K21*H21/I21,0)</f>
        <v>208005.441783359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4" t="s">
        <v>65</v>
      </c>
      <c r="B23" s="4" t="s">
        <v>46</v>
      </c>
      <c r="C23" s="19" t="n">
        <f aca="false">SUMIF($B$4:$B$21,$B23,C$4:C$21)</f>
        <v>3191500</v>
      </c>
      <c r="D23" s="2"/>
      <c r="E23" s="2"/>
      <c r="F23" s="19" t="n">
        <f aca="false">SUMIF($B$4:$B$21,$B23,F$4:F$21)</f>
        <v>3226528.7225</v>
      </c>
      <c r="G23" s="19" t="n">
        <f aca="false">SUMIF($B$4:$B$21,$B23,G$4:G$21)</f>
        <v>3261070.29633975</v>
      </c>
      <c r="H23" s="19" t="n">
        <f aca="false">SUMIF($B$4:$B$21,$B23,H$4:H$21)</f>
        <v>3295133.35201306</v>
      </c>
      <c r="I23" s="19" t="n">
        <f aca="false">SUMIF($B$4:$B$21,$B23,I$4:I$21)</f>
        <v>9782732.37085281</v>
      </c>
      <c r="J23" s="2"/>
      <c r="K23" s="19" t="n">
        <f aca="false">SUMIF($B$4:$B$21,$B23,K$4:K$21)</f>
        <v>10175000</v>
      </c>
      <c r="L23" s="19" t="n">
        <f aca="false">SUMIF($B$4:$B$21,$B23,L$4:L$21)</f>
        <v>3355905.94804093</v>
      </c>
      <c r="M23" s="19" t="n">
        <f aca="false">SUMIF($B$4:$B$21,$B23,M$4:M$21)</f>
        <v>3391832.56858987</v>
      </c>
      <c r="N23" s="19" t="n">
        <f aca="false">SUMIF($B$4:$B$21,$B23,N$4:N$21)</f>
        <v>3427261.4833692</v>
      </c>
    </row>
    <row r="24" customFormat="false" ht="15" hidden="false" customHeight="false" outlineLevel="0" collapsed="false">
      <c r="A24" s="4" t="s">
        <v>66</v>
      </c>
      <c r="B24" s="4" t="s">
        <v>59</v>
      </c>
      <c r="C24" s="19" t="n">
        <f aca="false">SUMIF($B$4:$B$21,$B24,C$4:C$21)</f>
        <v>789160</v>
      </c>
      <c r="D24" s="2"/>
      <c r="E24" s="2"/>
      <c r="F24" s="19" t="n">
        <f aca="false">SUMIF($B$4:$B$21,$B24,F$4:F$21)</f>
        <v>796222.4007</v>
      </c>
      <c r="G24" s="19" t="n">
        <f aca="false">SUMIF($B$4:$B$21,$B24,G$4:G$21)</f>
        <v>803165.38766031</v>
      </c>
      <c r="H24" s="19" t="n">
        <f aca="false">SUMIF($B$4:$B$21,$B24,H$4:H$21)</f>
        <v>809991.358061208</v>
      </c>
      <c r="I24" s="19" t="n">
        <f aca="false">SUMIF($B$4:$B$21,$B24,I$4:I$21)</f>
        <v>2409379.14642152</v>
      </c>
      <c r="J24" s="2"/>
      <c r="K24" s="19" t="n">
        <f aca="false">SUMIF($B$4:$B$21,$B24,K$4:K$21)</f>
        <v>2535816.8</v>
      </c>
      <c r="L24" s="19" t="n">
        <f aca="false">SUMIF($B$4:$B$21,$B24,L$4:L$21)</f>
        <v>838005.983089121</v>
      </c>
      <c r="M24" s="19" t="n">
        <f aca="false">SUMIF($B$4:$B$21,$B24,M$4:M$21)</f>
        <v>845313.319089885</v>
      </c>
      <c r="N24" s="19" t="n">
        <f aca="false">SUMIF($B$4:$B$21,$B24,N$4:N$21)</f>
        <v>852497.497820994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4" t="s">
        <v>67</v>
      </c>
      <c r="B26" s="2"/>
      <c r="C26" s="2"/>
      <c r="D26" s="2"/>
      <c r="E26" s="2"/>
      <c r="F26" s="2"/>
      <c r="G26" s="2"/>
      <c r="H26" s="2"/>
      <c r="I26" s="2"/>
      <c r="J26" s="2"/>
      <c r="K26" s="4" t="str">
        <f aca="false">IF(ABS(K23-Assumptions!B7)+ABS(K24-Assumptions!B8)&lt;1,"OK","CHECK")</f>
        <v>OK</v>
      </c>
      <c r="L26" s="2"/>
      <c r="M26" s="2"/>
      <c r="N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68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8" t="s">
        <v>31</v>
      </c>
      <c r="B3" s="8" t="s">
        <v>32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</row>
    <row r="4" customFormat="false" ht="15" hidden="false" customHeight="false" outlineLevel="0" collapsed="false">
      <c r="A4" s="2" t="s">
        <v>52</v>
      </c>
      <c r="B4" s="2" t="s">
        <v>46</v>
      </c>
      <c r="C4" s="11" t="n">
        <v>1208875</v>
      </c>
      <c r="D4" s="11" t="n">
        <v>832905</v>
      </c>
      <c r="E4" s="11" t="n">
        <v>1330271</v>
      </c>
      <c r="F4" s="20" t="n">
        <f aca="false">C4/D4</f>
        <v>1.45139601755302</v>
      </c>
      <c r="G4" s="20" t="n">
        <f aca="false">C4/E4</f>
        <v>0.908743406418692</v>
      </c>
    </row>
    <row r="5" customFormat="false" ht="15" hidden="false" customHeight="false" outlineLevel="0" collapsed="false">
      <c r="A5" s="2" t="s">
        <v>54</v>
      </c>
      <c r="B5" s="2" t="s">
        <v>46</v>
      </c>
      <c r="C5" s="11" t="n">
        <v>923175</v>
      </c>
      <c r="D5" s="11" t="n">
        <v>832905</v>
      </c>
      <c r="E5" s="11" t="n">
        <v>969399</v>
      </c>
      <c r="F5" s="20" t="n">
        <f aca="false">C5/D5</f>
        <v>1.10837970716949</v>
      </c>
      <c r="G5" s="20" t="n">
        <f aca="false">C5/E5</f>
        <v>0.952316847861407</v>
      </c>
    </row>
    <row r="6" customFormat="false" ht="15" hidden="false" customHeight="false" outlineLevel="0" collapsed="false">
      <c r="A6" s="2" t="s">
        <v>56</v>
      </c>
      <c r="B6" s="2" t="s">
        <v>46</v>
      </c>
      <c r="C6" s="11" t="n">
        <v>879075</v>
      </c>
      <c r="D6" s="11" t="n">
        <v>832905</v>
      </c>
      <c r="E6" s="11" t="n">
        <v>984369</v>
      </c>
      <c r="F6" s="20" t="n">
        <f aca="false">C6/D6</f>
        <v>1.05543249230104</v>
      </c>
      <c r="G6" s="20" t="n">
        <f aca="false">C6/E6</f>
        <v>0.893034014683518</v>
      </c>
    </row>
    <row r="7" customFormat="false" ht="15" hidden="false" customHeight="false" outlineLevel="0" collapsed="false">
      <c r="A7" s="2" t="s">
        <v>48</v>
      </c>
      <c r="B7" s="2" t="s">
        <v>46</v>
      </c>
      <c r="C7" s="11" t="n">
        <v>807075</v>
      </c>
      <c r="D7" s="11" t="n">
        <v>832905</v>
      </c>
      <c r="E7" s="11" t="n">
        <v>888327</v>
      </c>
      <c r="F7" s="20" t="n">
        <f aca="false">C7/D7</f>
        <v>0.96898805986277</v>
      </c>
      <c r="G7" s="20" t="n">
        <f aca="false">C7/E7</f>
        <v>0.908533681853642</v>
      </c>
    </row>
    <row r="8" customFormat="false" ht="15" hidden="false" customHeight="false" outlineLevel="0" collapsed="false">
      <c r="A8" s="2" t="s">
        <v>50</v>
      </c>
      <c r="B8" s="2" t="s">
        <v>46</v>
      </c>
      <c r="C8" s="11" t="n">
        <v>795525</v>
      </c>
      <c r="D8" s="11" t="n">
        <v>832905</v>
      </c>
      <c r="E8" s="11" t="n">
        <v>848991</v>
      </c>
      <c r="F8" s="20" t="n">
        <f aca="false">C8/D8</f>
        <v>0.95512093215913</v>
      </c>
      <c r="G8" s="20" t="n">
        <f aca="false">C8/E8</f>
        <v>0.937024067392941</v>
      </c>
    </row>
    <row r="9" customFormat="false" ht="15" hidden="false" customHeight="false" outlineLevel="0" collapsed="false">
      <c r="A9" s="2" t="s">
        <v>53</v>
      </c>
      <c r="B9" s="2" t="s">
        <v>46</v>
      </c>
      <c r="C9" s="11" t="n">
        <v>790600</v>
      </c>
      <c r="D9" s="11" t="n">
        <v>832905</v>
      </c>
      <c r="E9" s="11" t="n">
        <v>876201</v>
      </c>
      <c r="F9" s="20" t="n">
        <f aca="false">C9/D9</f>
        <v>0.949207892856928</v>
      </c>
      <c r="G9" s="20" t="n">
        <f aca="false">C9/E9</f>
        <v>0.902304379931089</v>
      </c>
    </row>
    <row r="10" customFormat="false" ht="15" hidden="false" customHeight="false" outlineLevel="0" collapsed="false">
      <c r="A10" s="2" t="s">
        <v>55</v>
      </c>
      <c r="B10" s="2" t="s">
        <v>46</v>
      </c>
      <c r="C10" s="11" t="n">
        <v>787350</v>
      </c>
      <c r="D10" s="11" t="n">
        <v>832905</v>
      </c>
      <c r="E10" s="11" t="n">
        <v>756315</v>
      </c>
      <c r="F10" s="20" t="n">
        <f aca="false">C10/D10</f>
        <v>0.945305887226034</v>
      </c>
      <c r="G10" s="20" t="n">
        <f aca="false">C10/E10</f>
        <v>1.04103448959759</v>
      </c>
    </row>
    <row r="11" customFormat="false" ht="15" hidden="false" customHeight="false" outlineLevel="0" collapsed="false">
      <c r="A11" s="2" t="s">
        <v>47</v>
      </c>
      <c r="B11" s="2" t="s">
        <v>46</v>
      </c>
      <c r="C11" s="11" t="n">
        <v>782925</v>
      </c>
      <c r="D11" s="11" t="n">
        <v>832905</v>
      </c>
      <c r="E11" s="11" t="n">
        <v>831520</v>
      </c>
      <c r="F11" s="20" t="n">
        <f aca="false">C11/D11</f>
        <v>0.939993156482432</v>
      </c>
      <c r="G11" s="20" t="n">
        <f aca="false">C11/E11</f>
        <v>0.941558832018472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11" t="n">
        <v>687650</v>
      </c>
      <c r="D12" s="11" t="n">
        <v>832905</v>
      </c>
      <c r="E12" s="11" t="n">
        <v>745695</v>
      </c>
      <c r="F12" s="20" t="n">
        <f aca="false">C12/D12</f>
        <v>0.82560436064137</v>
      </c>
      <c r="G12" s="20" t="n">
        <f aca="false">C12/E12</f>
        <v>0.922159864287678</v>
      </c>
    </row>
    <row r="13" customFormat="false" ht="15" hidden="false" customHeight="false" outlineLevel="0" collapsed="false">
      <c r="A13" s="2" t="s">
        <v>51</v>
      </c>
      <c r="B13" s="2" t="s">
        <v>46</v>
      </c>
      <c r="C13" s="11" t="n">
        <v>638950</v>
      </c>
      <c r="D13" s="11" t="n">
        <v>832905</v>
      </c>
      <c r="E13" s="11" t="n">
        <v>741376</v>
      </c>
      <c r="F13" s="20" t="n">
        <f aca="false">C13/D13</f>
        <v>0.767134307033815</v>
      </c>
      <c r="G13" s="20" t="n">
        <f aca="false">C13/E13</f>
        <v>0.861843383114641</v>
      </c>
    </row>
    <row r="14" customFormat="false" ht="15" hidden="false" customHeight="false" outlineLevel="0" collapsed="false">
      <c r="A14" s="2" t="s">
        <v>57</v>
      </c>
      <c r="B14" s="2" t="s">
        <v>46</v>
      </c>
      <c r="C14" s="11" t="n">
        <v>491800</v>
      </c>
      <c r="D14" s="11" t="n">
        <v>832905</v>
      </c>
      <c r="E14" s="11" t="n">
        <v>536147</v>
      </c>
      <c r="F14" s="20" t="n">
        <f aca="false">C14/D14</f>
        <v>0.590463498238094</v>
      </c>
      <c r="G14" s="20" t="n">
        <f aca="false">C14/E14</f>
        <v>0.917285744394728</v>
      </c>
    </row>
    <row r="15" customFormat="false" ht="15" hidden="false" customHeight="false" outlineLevel="0" collapsed="false">
      <c r="A15" s="2" t="s">
        <v>49</v>
      </c>
      <c r="B15" s="2" t="s">
        <v>46</v>
      </c>
      <c r="C15" s="11" t="n">
        <v>457000</v>
      </c>
      <c r="D15" s="11" t="n">
        <v>832905</v>
      </c>
      <c r="E15" s="11" t="n">
        <v>486250</v>
      </c>
      <c r="F15" s="20" t="n">
        <f aca="false">C15/D15</f>
        <v>0.548682022559596</v>
      </c>
      <c r="G15" s="20" t="n">
        <f aca="false">C15/E15</f>
        <v>0.939845758354756</v>
      </c>
    </row>
    <row r="16" customFormat="false" ht="15" hidden="false" customHeight="false" outlineLevel="0" collapsed="false">
      <c r="A16" s="2" t="s">
        <v>64</v>
      </c>
      <c r="B16" s="2" t="s">
        <v>59</v>
      </c>
      <c r="C16" s="11" t="n">
        <v>624344</v>
      </c>
      <c r="D16" s="11" t="n">
        <v>423648</v>
      </c>
      <c r="E16" s="11" t="n">
        <v>700528</v>
      </c>
      <c r="F16" s="20" t="n">
        <f aca="false">C16/D16</f>
        <v>1.47373291034066</v>
      </c>
      <c r="G16" s="20" t="n">
        <f aca="false">C16/E16</f>
        <v>0.89124774455839</v>
      </c>
    </row>
    <row r="17" customFormat="false" ht="15" hidden="false" customHeight="false" outlineLevel="0" collapsed="false">
      <c r="A17" s="2" t="s">
        <v>60</v>
      </c>
      <c r="B17" s="2" t="s">
        <v>59</v>
      </c>
      <c r="C17" s="11" t="n">
        <v>571932</v>
      </c>
      <c r="D17" s="11" t="n">
        <v>423648</v>
      </c>
      <c r="E17" s="11" t="n">
        <v>656296</v>
      </c>
      <c r="F17" s="20" t="n">
        <f aca="false">C17/D17</f>
        <v>1.35001699524133</v>
      </c>
      <c r="G17" s="20" t="n">
        <f aca="false">C17/E17</f>
        <v>0.871454343771713</v>
      </c>
    </row>
    <row r="18" customFormat="false" ht="15" hidden="false" customHeight="false" outlineLevel="0" collapsed="false">
      <c r="A18" s="2" t="s">
        <v>63</v>
      </c>
      <c r="B18" s="2" t="s">
        <v>59</v>
      </c>
      <c r="C18" s="11" t="n">
        <v>418848</v>
      </c>
      <c r="D18" s="11" t="n">
        <v>423648</v>
      </c>
      <c r="E18" s="11" t="n">
        <v>468711</v>
      </c>
      <c r="F18" s="20" t="n">
        <f aca="false">C18/D18</f>
        <v>0.988669839111715</v>
      </c>
      <c r="G18" s="20" t="n">
        <f aca="false">C18/E18</f>
        <v>0.89361674891351</v>
      </c>
    </row>
    <row r="19" customFormat="false" ht="15" hidden="false" customHeight="false" outlineLevel="0" collapsed="false">
      <c r="A19" s="2" t="s">
        <v>58</v>
      </c>
      <c r="B19" s="2" t="s">
        <v>59</v>
      </c>
      <c r="C19" s="11" t="n">
        <v>267345</v>
      </c>
      <c r="D19" s="11" t="n">
        <v>423648</v>
      </c>
      <c r="E19" s="11" t="n">
        <v>282487</v>
      </c>
      <c r="F19" s="20" t="n">
        <f aca="false">C19/D19</f>
        <v>0.631054554724677</v>
      </c>
      <c r="G19" s="20" t="n">
        <f aca="false">C19/E19</f>
        <v>0.946397533337817</v>
      </c>
    </row>
    <row r="20" customFormat="false" ht="15" hidden="false" customHeight="false" outlineLevel="0" collapsed="false">
      <c r="A20" s="2" t="s">
        <v>62</v>
      </c>
      <c r="B20" s="2" t="s">
        <v>59</v>
      </c>
      <c r="C20" s="11" t="n">
        <v>240369</v>
      </c>
      <c r="D20" s="11" t="n">
        <v>423648</v>
      </c>
      <c r="E20" s="11" t="n">
        <v>257565</v>
      </c>
      <c r="F20" s="20" t="n">
        <f aca="false">C20/D20</f>
        <v>0.567379050532518</v>
      </c>
      <c r="G20" s="20" t="n">
        <f aca="false">C20/E20</f>
        <v>0.933236270456001</v>
      </c>
    </row>
    <row r="21" customFormat="false" ht="15" hidden="false" customHeight="false" outlineLevel="0" collapsed="false">
      <c r="A21" s="2" t="s">
        <v>61</v>
      </c>
      <c r="B21" s="2" t="s">
        <v>59</v>
      </c>
      <c r="C21" s="11" t="n">
        <v>182450</v>
      </c>
      <c r="D21" s="11" t="n">
        <v>423648</v>
      </c>
      <c r="E21" s="11" t="n">
        <v>176301</v>
      </c>
      <c r="F21" s="20" t="n">
        <f aca="false">C21/D21</f>
        <v>0.430664136264068</v>
      </c>
      <c r="G21" s="20" t="n">
        <f aca="false">C21/E21</f>
        <v>1.03487785094809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74</v>
      </c>
      <c r="B23" s="2"/>
      <c r="C23" s="2"/>
      <c r="D23" s="2"/>
      <c r="E23" s="2"/>
      <c r="F23" s="20" t="n">
        <f aca="false">MIN(F4:F21)</f>
        <v>0.430664136264068</v>
      </c>
      <c r="G23" s="20" t="n">
        <f aca="false">MIN(G4:G21)</f>
        <v>0.861843383114641</v>
      </c>
    </row>
    <row r="24" customFormat="false" ht="15" hidden="false" customHeight="false" outlineLevel="0" collapsed="false">
      <c r="A24" s="4" t="s">
        <v>75</v>
      </c>
      <c r="B24" s="2"/>
      <c r="C24" s="2"/>
      <c r="D24" s="2"/>
      <c r="E24" s="2"/>
      <c r="F24" s="20" t="n">
        <f aca="false">MAX(F4:F21)</f>
        <v>1.47373291034066</v>
      </c>
      <c r="G24" s="20" t="n">
        <f aca="false">MAX(G4:G21)</f>
        <v>1.04103448959759</v>
      </c>
    </row>
    <row r="25" customFormat="false" ht="15" hidden="false" customHeight="false" outlineLevel="0" collapsed="false">
      <c r="A25" s="4" t="s">
        <v>76</v>
      </c>
      <c r="B25" s="2"/>
      <c r="C25" s="2"/>
      <c r="D25" s="2"/>
      <c r="E25" s="2"/>
      <c r="F25" s="21" t="n">
        <f aca="false">STDEV(F4:F21)</f>
        <v>0.303315866729118</v>
      </c>
      <c r="G25" s="21" t="n">
        <f aca="false">STDEV(G4:G21)</f>
        <v>0.0475567399354299</v>
      </c>
    </row>
    <row r="26" customFormat="false" ht="15" hidden="false" customHeight="false" outlineLevel="0" collapsed="false">
      <c r="A26" s="4" t="s">
        <v>77</v>
      </c>
      <c r="B26" s="2"/>
      <c r="C26" s="2"/>
      <c r="D26" s="2"/>
      <c r="E26" s="2"/>
      <c r="F26" s="20" t="n">
        <f aca="false">COUNTIFS(F4:F21,"&gt;=0.9",F4:F21,"&lt;=1.1")/COUNT(F4:F21)</f>
        <v>0.388888888888889</v>
      </c>
      <c r="G26" s="20" t="n">
        <f aca="false">COUNTIFS(G4:G21,"&gt;=0.9",G4:G21,"&lt;=1.1")/COUNT(G4:G21)</f>
        <v>0.722222222222222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  <c r="I3" s="8" t="s">
        <v>87</v>
      </c>
      <c r="J3" s="8" t="s">
        <v>88</v>
      </c>
      <c r="K3" s="8" t="s">
        <v>89</v>
      </c>
      <c r="L3" s="8" t="s">
        <v>90</v>
      </c>
      <c r="M3" s="8" t="s">
        <v>91</v>
      </c>
      <c r="N3" s="8" t="s">
        <v>92</v>
      </c>
    </row>
    <row r="4" customFormat="false" ht="15" hidden="false" customHeight="false" outlineLevel="0" collapsed="false">
      <c r="A4" s="3" t="s">
        <v>93</v>
      </c>
      <c r="B4" s="11" t="n">
        <v>2523575</v>
      </c>
      <c r="C4" s="11" t="n">
        <v>2604675</v>
      </c>
      <c r="D4" s="11" t="n">
        <v>2631300</v>
      </c>
      <c r="E4" s="11" t="n">
        <v>2697225</v>
      </c>
      <c r="F4" s="11" t="n">
        <v>2786700</v>
      </c>
      <c r="G4" s="11" t="n">
        <v>2881925</v>
      </c>
      <c r="H4" s="11" t="n">
        <v>2958350</v>
      </c>
      <c r="I4" s="11" t="n">
        <v>2981600</v>
      </c>
      <c r="J4" s="11" t="n">
        <v>2984025</v>
      </c>
      <c r="K4" s="11" t="n">
        <v>3010300</v>
      </c>
      <c r="L4" s="11" t="n">
        <v>3048200</v>
      </c>
      <c r="M4" s="11" t="n">
        <v>3191500</v>
      </c>
      <c r="N4" s="19" t="n">
        <f aca="false">SUM(B4:M4)</f>
        <v>34299375</v>
      </c>
    </row>
    <row r="5" customFormat="false" ht="15" hidden="false" customHeight="false" outlineLevel="0" collapsed="false">
      <c r="A5" s="3" t="s">
        <v>94</v>
      </c>
      <c r="B5" s="22" t="n">
        <f aca="false">B4*Assumptions!$B$10</f>
        <v>63089.375</v>
      </c>
      <c r="C5" s="22" t="n">
        <f aca="false">C4*Assumptions!$B$10</f>
        <v>65116.875</v>
      </c>
      <c r="D5" s="22" t="n">
        <f aca="false">D4*Assumptions!$B$10</f>
        <v>65782.5</v>
      </c>
      <c r="E5" s="22" t="n">
        <f aca="false">E4*Assumptions!$B$10</f>
        <v>67430.625</v>
      </c>
      <c r="F5" s="22" t="n">
        <f aca="false">F4*Assumptions!$B$10</f>
        <v>69667.5</v>
      </c>
      <c r="G5" s="22" t="n">
        <f aca="false">G4*Assumptions!$B$10</f>
        <v>72048.125</v>
      </c>
      <c r="H5" s="22" t="n">
        <f aca="false">H4*Assumptions!$B$10</f>
        <v>73958.75</v>
      </c>
      <c r="I5" s="22" t="n">
        <f aca="false">I4*Assumptions!$B$10</f>
        <v>74540</v>
      </c>
      <c r="J5" s="22" t="n">
        <f aca="false">J4*Assumptions!$B$10</f>
        <v>74600.625</v>
      </c>
      <c r="K5" s="22" t="n">
        <f aca="false">K4*Assumptions!$B$10</f>
        <v>75257.5</v>
      </c>
      <c r="L5" s="22" t="n">
        <f aca="false">L4*Assumptions!$B$10</f>
        <v>76205</v>
      </c>
      <c r="M5" s="22" t="n">
        <f aca="false">M4*Assumptions!$B$10</f>
        <v>79787.5</v>
      </c>
      <c r="N5" s="19" t="n">
        <f aca="false">SUM(B5:M5)</f>
        <v>857484.375</v>
      </c>
    </row>
    <row r="6" customFormat="false" ht="15" hidden="false" customHeight="false" outlineLevel="0" collapsed="false">
      <c r="A6" s="3" t="s">
        <v>95</v>
      </c>
      <c r="B6" s="22" t="n">
        <f aca="false">B4*Assumptions!$B$11</f>
        <v>454243.5</v>
      </c>
      <c r="C6" s="22" t="n">
        <f aca="false">C4*Assumptions!$B$11</f>
        <v>468841.5</v>
      </c>
      <c r="D6" s="22" t="n">
        <f aca="false">D4*Assumptions!$B$11</f>
        <v>473634</v>
      </c>
      <c r="E6" s="22" t="n">
        <f aca="false">E4*Assumptions!$B$11</f>
        <v>485500.5</v>
      </c>
      <c r="F6" s="22" t="n">
        <f aca="false">F4*Assumptions!$B$11</f>
        <v>501606</v>
      </c>
      <c r="G6" s="22" t="n">
        <f aca="false">G4*Assumptions!$B$11</f>
        <v>518746.5</v>
      </c>
      <c r="H6" s="22" t="n">
        <f aca="false">H4*Assumptions!$B$11</f>
        <v>532503</v>
      </c>
      <c r="I6" s="22" t="n">
        <f aca="false">I4*Assumptions!$B$11</f>
        <v>536688</v>
      </c>
      <c r="J6" s="22" t="n">
        <f aca="false">J4*Assumptions!$B$11</f>
        <v>537124.5</v>
      </c>
      <c r="K6" s="22" t="n">
        <f aca="false">K4*Assumptions!$B$11</f>
        <v>541854</v>
      </c>
      <c r="L6" s="22" t="n">
        <f aca="false">L4*Assumptions!$B$11</f>
        <v>548676</v>
      </c>
      <c r="M6" s="22" t="n">
        <f aca="false">M4*Assumptions!$B$11</f>
        <v>574470</v>
      </c>
      <c r="N6" s="19" t="n">
        <f aca="false">SUM(B6:M6)</f>
        <v>6173887.5</v>
      </c>
    </row>
    <row r="7" customFormat="false" ht="15" hidden="false" customHeight="false" outlineLevel="0" collapsed="false">
      <c r="A7" s="3" t="s">
        <v>96</v>
      </c>
      <c r="B7" s="11" t="n">
        <v>168000</v>
      </c>
      <c r="C7" s="11" t="n">
        <v>168000</v>
      </c>
      <c r="D7" s="11" t="n">
        <v>168000</v>
      </c>
      <c r="E7" s="11" t="n">
        <v>168000</v>
      </c>
      <c r="F7" s="11" t="n">
        <v>168000</v>
      </c>
      <c r="G7" s="11" t="n">
        <v>168000</v>
      </c>
      <c r="H7" s="11" t="n">
        <v>168000</v>
      </c>
      <c r="I7" s="11" t="n">
        <v>168000</v>
      </c>
      <c r="J7" s="11" t="n">
        <v>168000</v>
      </c>
      <c r="K7" s="11" t="n">
        <v>168000</v>
      </c>
      <c r="L7" s="11" t="n">
        <v>168000</v>
      </c>
      <c r="M7" s="11" t="n">
        <v>168000</v>
      </c>
      <c r="N7" s="19" t="n">
        <f aca="false">SUM(B7:M7)</f>
        <v>2016000</v>
      </c>
    </row>
    <row r="8" customFormat="false" ht="15" hidden="false" customHeight="false" outlineLevel="0" collapsed="false">
      <c r="A8" s="3" t="s">
        <v>97</v>
      </c>
      <c r="B8" s="11" t="n">
        <v>27742</v>
      </c>
      <c r="C8" s="11" t="n">
        <v>34702</v>
      </c>
      <c r="D8" s="11" t="n">
        <v>31065</v>
      </c>
      <c r="E8" s="11" t="n">
        <v>32708</v>
      </c>
      <c r="F8" s="11" t="n">
        <v>39818</v>
      </c>
      <c r="G8" s="11" t="n">
        <v>34628</v>
      </c>
      <c r="H8" s="11" t="n">
        <v>35948</v>
      </c>
      <c r="I8" s="11" t="n">
        <v>24345</v>
      </c>
      <c r="J8" s="11" t="n">
        <v>15645</v>
      </c>
      <c r="K8" s="11" t="n">
        <v>17505</v>
      </c>
      <c r="L8" s="11" t="n">
        <v>26265</v>
      </c>
      <c r="M8" s="11" t="n">
        <v>43612</v>
      </c>
      <c r="N8" s="19" t="n">
        <f aca="false">SUM(B8:M8)</f>
        <v>363983</v>
      </c>
    </row>
    <row r="9" customFormat="false" ht="15" hidden="false" customHeight="false" outlineLevel="0" collapsed="false">
      <c r="A9" s="3" t="s">
        <v>98</v>
      </c>
      <c r="B9" s="11" t="n">
        <v>311700</v>
      </c>
      <c r="C9" s="11" t="n">
        <v>365700</v>
      </c>
      <c r="D9" s="11" t="n">
        <v>365300</v>
      </c>
      <c r="E9" s="11" t="n">
        <v>307700</v>
      </c>
      <c r="F9" s="11" t="n">
        <v>299400</v>
      </c>
      <c r="G9" s="11" t="n">
        <v>342300</v>
      </c>
      <c r="H9" s="11" t="n">
        <v>289400</v>
      </c>
      <c r="I9" s="11" t="n">
        <v>294800</v>
      </c>
      <c r="J9" s="11" t="n">
        <v>335700</v>
      </c>
      <c r="K9" s="11" t="n">
        <v>272800</v>
      </c>
      <c r="L9" s="11" t="n">
        <v>322600</v>
      </c>
      <c r="M9" s="11" t="n">
        <v>321200</v>
      </c>
      <c r="N9" s="19" t="n">
        <f aca="false">SUM(B9:M9)</f>
        <v>3828600</v>
      </c>
    </row>
    <row r="10" customFormat="false" ht="15" hidden="false" customHeight="false" outlineLevel="0" collapsed="false">
      <c r="A10" s="4" t="s">
        <v>99</v>
      </c>
      <c r="B10" s="19" t="n">
        <f aca="false">B4-SUM(B5:B9)</f>
        <v>1498800.125</v>
      </c>
      <c r="C10" s="19" t="n">
        <f aca="false">C4-SUM(C5:C9)</f>
        <v>1502314.625</v>
      </c>
      <c r="D10" s="19" t="n">
        <f aca="false">D4-SUM(D5:D9)</f>
        <v>1527518.5</v>
      </c>
      <c r="E10" s="19" t="n">
        <f aca="false">E4-SUM(E5:E9)</f>
        <v>1635885.875</v>
      </c>
      <c r="F10" s="19" t="n">
        <f aca="false">F4-SUM(F5:F9)</f>
        <v>1708208.5</v>
      </c>
      <c r="G10" s="19" t="n">
        <f aca="false">G4-SUM(G5:G9)</f>
        <v>1746202.375</v>
      </c>
      <c r="H10" s="19" t="n">
        <f aca="false">H4-SUM(H5:H9)</f>
        <v>1858540.25</v>
      </c>
      <c r="I10" s="19" t="n">
        <f aca="false">I4-SUM(I5:I9)</f>
        <v>1883227</v>
      </c>
      <c r="J10" s="19" t="n">
        <f aca="false">J4-SUM(J5:J9)</f>
        <v>1852954.875</v>
      </c>
      <c r="K10" s="19" t="n">
        <f aca="false">K4-SUM(K5:K9)</f>
        <v>1934883.5</v>
      </c>
      <c r="L10" s="19" t="n">
        <f aca="false">L4-SUM(L5:L9)</f>
        <v>1906454</v>
      </c>
      <c r="M10" s="19" t="n">
        <f aca="false">M4-SUM(M5:M9)</f>
        <v>2004430.5</v>
      </c>
      <c r="N10" s="19" t="n">
        <f aca="false">SUM(B10:M10)</f>
        <v>21059420.125</v>
      </c>
    </row>
    <row r="11" customFormat="false" ht="15" hidden="false" customHeight="false" outlineLevel="0" collapsed="false">
      <c r="A11" s="4" t="s">
        <v>100</v>
      </c>
      <c r="B11" s="23" t="n">
        <f aca="false">IFERROR(B10/B4,0)</f>
        <v>0.593919390150877</v>
      </c>
      <c r="C11" s="23" t="n">
        <f aca="false">IFERROR(C10/C4,0)</f>
        <v>0.576776229280045</v>
      </c>
      <c r="D11" s="23" t="n">
        <f aca="false">IFERROR(D10/D4,0)</f>
        <v>0.580518564967887</v>
      </c>
      <c r="E11" s="23" t="n">
        <f aca="false">IFERROR(E10/E4,0)</f>
        <v>0.606507011836239</v>
      </c>
      <c r="F11" s="23" t="n">
        <f aca="false">IFERROR(F10/F4,0)</f>
        <v>0.612986148491047</v>
      </c>
      <c r="G11" s="23" t="n">
        <f aca="false">IFERROR(G10/G4,0)</f>
        <v>0.60591527364522</v>
      </c>
      <c r="H11" s="23" t="n">
        <f aca="false">IFERROR(H10/H4,0)</f>
        <v>0.628235418392009</v>
      </c>
      <c r="I11" s="23" t="n">
        <f aca="false">IFERROR(I10/I4,0)</f>
        <v>0.631616246310706</v>
      </c>
      <c r="J11" s="23" t="n">
        <f aca="false">IFERROR(J10/J4,0)</f>
        <v>0.620958227561766</v>
      </c>
      <c r="K11" s="23" t="n">
        <f aca="false">IFERROR(K10/K4,0)</f>
        <v>0.642754376640202</v>
      </c>
      <c r="L11" s="23" t="n">
        <f aca="false">IFERROR(L10/L4,0)</f>
        <v>0.625435995013451</v>
      </c>
      <c r="M11" s="23" t="n">
        <f aca="false">IFERROR(M10/M4,0)</f>
        <v>0.628052796490678</v>
      </c>
      <c r="N11" s="23" t="n">
        <f aca="false">IFERROR(N10/N4,0)</f>
        <v>0.613988450955739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31.5" hidden="false" customHeight="true" outlineLevel="0" collapsed="false">
      <c r="A14" s="8" t="s">
        <v>101</v>
      </c>
      <c r="B14" s="8" t="s">
        <v>80</v>
      </c>
      <c r="C14" s="8" t="s">
        <v>81</v>
      </c>
      <c r="D14" s="8" t="s">
        <v>82</v>
      </c>
      <c r="E14" s="8" t="s">
        <v>83</v>
      </c>
      <c r="F14" s="8" t="s">
        <v>84</v>
      </c>
      <c r="G14" s="8" t="s">
        <v>85</v>
      </c>
      <c r="H14" s="8" t="s">
        <v>86</v>
      </c>
      <c r="I14" s="8" t="s">
        <v>87</v>
      </c>
      <c r="J14" s="8" t="s">
        <v>88</v>
      </c>
      <c r="K14" s="8" t="s">
        <v>89</v>
      </c>
      <c r="L14" s="8" t="s">
        <v>90</v>
      </c>
      <c r="M14" s="8" t="s">
        <v>91</v>
      </c>
      <c r="N14" s="8" t="s">
        <v>92</v>
      </c>
    </row>
    <row r="15" customFormat="false" ht="15" hidden="false" customHeight="false" outlineLevel="0" collapsed="false">
      <c r="A15" s="3" t="s">
        <v>93</v>
      </c>
      <c r="B15" s="11" t="n">
        <v>687542</v>
      </c>
      <c r="C15" s="11" t="n">
        <v>701139</v>
      </c>
      <c r="D15" s="11" t="n">
        <v>698916</v>
      </c>
      <c r="E15" s="11" t="n">
        <v>743417</v>
      </c>
      <c r="F15" s="11" t="n">
        <v>727975</v>
      </c>
      <c r="G15" s="11" t="n">
        <v>728350</v>
      </c>
      <c r="H15" s="11" t="n">
        <v>743525</v>
      </c>
      <c r="I15" s="11" t="n">
        <v>773712</v>
      </c>
      <c r="J15" s="11" t="n">
        <v>752308</v>
      </c>
      <c r="K15" s="11" t="n">
        <v>750478</v>
      </c>
      <c r="L15" s="11" t="n">
        <v>765649</v>
      </c>
      <c r="M15" s="11" t="n">
        <v>789161</v>
      </c>
      <c r="N15" s="19" t="n">
        <f aca="false">SUM(B15:M15)</f>
        <v>8862172</v>
      </c>
    </row>
    <row r="16" customFormat="false" ht="15" hidden="false" customHeight="false" outlineLevel="0" collapsed="false">
      <c r="A16" s="3" t="s">
        <v>94</v>
      </c>
      <c r="B16" s="22" t="n">
        <f aca="false">B15*Assumptions!$B$10</f>
        <v>17188.55</v>
      </c>
      <c r="C16" s="22" t="n">
        <f aca="false">C15*Assumptions!$B$10</f>
        <v>17528.475</v>
      </c>
      <c r="D16" s="22" t="n">
        <f aca="false">D15*Assumptions!$B$10</f>
        <v>17472.9</v>
      </c>
      <c r="E16" s="22" t="n">
        <f aca="false">E15*Assumptions!$B$10</f>
        <v>18585.425</v>
      </c>
      <c r="F16" s="22" t="n">
        <f aca="false">F15*Assumptions!$B$10</f>
        <v>18199.375</v>
      </c>
      <c r="G16" s="22" t="n">
        <f aca="false">G15*Assumptions!$B$10</f>
        <v>18208.75</v>
      </c>
      <c r="H16" s="22" t="n">
        <f aca="false">H15*Assumptions!$B$10</f>
        <v>18588.125</v>
      </c>
      <c r="I16" s="22" t="n">
        <f aca="false">I15*Assumptions!$B$10</f>
        <v>19342.8</v>
      </c>
      <c r="J16" s="22" t="n">
        <f aca="false">J15*Assumptions!$B$10</f>
        <v>18807.7</v>
      </c>
      <c r="K16" s="22" t="n">
        <f aca="false">K15*Assumptions!$B$10</f>
        <v>18761.95</v>
      </c>
      <c r="L16" s="22" t="n">
        <f aca="false">L15*Assumptions!$B$10</f>
        <v>19141.225</v>
      </c>
      <c r="M16" s="22" t="n">
        <f aca="false">M15*Assumptions!$B$10</f>
        <v>19729.025</v>
      </c>
      <c r="N16" s="19" t="n">
        <f aca="false">SUM(B16:M16)</f>
        <v>221554.3</v>
      </c>
    </row>
    <row r="17" customFormat="false" ht="15" hidden="false" customHeight="false" outlineLevel="0" collapsed="false">
      <c r="A17" s="3" t="s">
        <v>95</v>
      </c>
      <c r="B17" s="22" t="n">
        <f aca="false">B15*Assumptions!$B$11</f>
        <v>123757.56</v>
      </c>
      <c r="C17" s="22" t="n">
        <f aca="false">C15*Assumptions!$B$11</f>
        <v>126205.02</v>
      </c>
      <c r="D17" s="22" t="n">
        <f aca="false">D15*Assumptions!$B$11</f>
        <v>125804.88</v>
      </c>
      <c r="E17" s="22" t="n">
        <f aca="false">E15*Assumptions!$B$11</f>
        <v>133815.06</v>
      </c>
      <c r="F17" s="22" t="n">
        <f aca="false">F15*Assumptions!$B$11</f>
        <v>131035.5</v>
      </c>
      <c r="G17" s="22" t="n">
        <f aca="false">G15*Assumptions!$B$11</f>
        <v>131103</v>
      </c>
      <c r="H17" s="22" t="n">
        <f aca="false">H15*Assumptions!$B$11</f>
        <v>133834.5</v>
      </c>
      <c r="I17" s="22" t="n">
        <f aca="false">I15*Assumptions!$B$11</f>
        <v>139268.16</v>
      </c>
      <c r="J17" s="22" t="n">
        <f aca="false">J15*Assumptions!$B$11</f>
        <v>135415.44</v>
      </c>
      <c r="K17" s="22" t="n">
        <f aca="false">K15*Assumptions!$B$11</f>
        <v>135086.04</v>
      </c>
      <c r="L17" s="22" t="n">
        <f aca="false">L15*Assumptions!$B$11</f>
        <v>137816.82</v>
      </c>
      <c r="M17" s="22" t="n">
        <f aca="false">M15*Assumptions!$B$11</f>
        <v>142048.98</v>
      </c>
      <c r="N17" s="19" t="n">
        <f aca="false">SUM(B17:M17)</f>
        <v>1595190.96</v>
      </c>
    </row>
    <row r="18" customFormat="false" ht="15" hidden="false" customHeight="false" outlineLevel="0" collapsed="false">
      <c r="A18" s="3" t="s">
        <v>96</v>
      </c>
      <c r="B18" s="11" t="n">
        <v>84000</v>
      </c>
      <c r="C18" s="11" t="n">
        <v>84000</v>
      </c>
      <c r="D18" s="11" t="n">
        <v>84000</v>
      </c>
      <c r="E18" s="11" t="n">
        <v>84000</v>
      </c>
      <c r="F18" s="11" t="n">
        <v>84000</v>
      </c>
      <c r="G18" s="11" t="n">
        <v>84000</v>
      </c>
      <c r="H18" s="11" t="n">
        <v>84000</v>
      </c>
      <c r="I18" s="11" t="n">
        <v>84000</v>
      </c>
      <c r="J18" s="11" t="n">
        <v>84000</v>
      </c>
      <c r="K18" s="11" t="n">
        <v>84000</v>
      </c>
      <c r="L18" s="11" t="n">
        <v>84000</v>
      </c>
      <c r="M18" s="11" t="n">
        <v>84000</v>
      </c>
      <c r="N18" s="19" t="n">
        <f aca="false">SUM(B18:M18)</f>
        <v>1008000</v>
      </c>
    </row>
    <row r="19" customFormat="false" ht="15" hidden="false" customHeight="false" outlineLevel="0" collapsed="false">
      <c r="A19" s="3" t="s">
        <v>97</v>
      </c>
      <c r="B19" s="11" t="n">
        <v>11103</v>
      </c>
      <c r="C19" s="11" t="n">
        <v>5991</v>
      </c>
      <c r="D19" s="11" t="n">
        <v>4162</v>
      </c>
      <c r="E19" s="11" t="n">
        <v>8373</v>
      </c>
      <c r="F19" s="11" t="n">
        <v>7165</v>
      </c>
      <c r="G19" s="11" t="n">
        <v>5859</v>
      </c>
      <c r="H19" s="11" t="n">
        <v>7189</v>
      </c>
      <c r="I19" s="11" t="n">
        <v>11818</v>
      </c>
      <c r="J19" s="11" t="n">
        <v>4666</v>
      </c>
      <c r="K19" s="11" t="n">
        <v>4689</v>
      </c>
      <c r="L19" s="11" t="n">
        <v>6228</v>
      </c>
      <c r="M19" s="11" t="n">
        <v>8548</v>
      </c>
      <c r="N19" s="19" t="n">
        <f aca="false">SUM(B19:M19)</f>
        <v>85791</v>
      </c>
    </row>
    <row r="20" customFormat="false" ht="15" hidden="false" customHeight="false" outlineLevel="0" collapsed="false">
      <c r="A20" s="3" t="s">
        <v>98</v>
      </c>
      <c r="B20" s="11" t="n">
        <v>100400</v>
      </c>
      <c r="C20" s="11" t="n">
        <v>102200</v>
      </c>
      <c r="D20" s="11" t="n">
        <v>94500</v>
      </c>
      <c r="E20" s="11" t="n">
        <v>95900</v>
      </c>
      <c r="F20" s="11" t="n">
        <v>96400</v>
      </c>
      <c r="G20" s="11" t="n">
        <v>98500</v>
      </c>
      <c r="H20" s="11" t="n">
        <v>95300</v>
      </c>
      <c r="I20" s="11" t="n">
        <v>88800</v>
      </c>
      <c r="J20" s="11" t="n">
        <v>95400</v>
      </c>
      <c r="K20" s="11" t="n">
        <v>92600</v>
      </c>
      <c r="L20" s="11" t="n">
        <v>92900</v>
      </c>
      <c r="M20" s="11" t="n">
        <v>107000</v>
      </c>
      <c r="N20" s="19" t="n">
        <f aca="false">SUM(B20:M20)</f>
        <v>1159900</v>
      </c>
    </row>
    <row r="21" customFormat="false" ht="15" hidden="false" customHeight="false" outlineLevel="0" collapsed="false">
      <c r="A21" s="4" t="s">
        <v>99</v>
      </c>
      <c r="B21" s="19" t="n">
        <f aca="false">B15-SUM(B16:B20)</f>
        <v>351092.89</v>
      </c>
      <c r="C21" s="19" t="n">
        <f aca="false">C15-SUM(C16:C20)</f>
        <v>365214.505</v>
      </c>
      <c r="D21" s="19" t="n">
        <f aca="false">D15-SUM(D16:D20)</f>
        <v>372976.22</v>
      </c>
      <c r="E21" s="19" t="n">
        <f aca="false">E15-SUM(E16:E20)</f>
        <v>402743.515</v>
      </c>
      <c r="F21" s="19" t="n">
        <f aca="false">F15-SUM(F16:F20)</f>
        <v>391175.125</v>
      </c>
      <c r="G21" s="19" t="n">
        <f aca="false">G15-SUM(G16:G20)</f>
        <v>390679.25</v>
      </c>
      <c r="H21" s="19" t="n">
        <f aca="false">H15-SUM(H16:H20)</f>
        <v>404613.375</v>
      </c>
      <c r="I21" s="19" t="n">
        <f aca="false">I15-SUM(I16:I20)</f>
        <v>430483.04</v>
      </c>
      <c r="J21" s="19" t="n">
        <f aca="false">J15-SUM(J16:J20)</f>
        <v>414018.86</v>
      </c>
      <c r="K21" s="19" t="n">
        <f aca="false">K15-SUM(K16:K20)</f>
        <v>415341.01</v>
      </c>
      <c r="L21" s="19" t="n">
        <f aca="false">L15-SUM(L16:L20)</f>
        <v>425562.955</v>
      </c>
      <c r="M21" s="19" t="n">
        <f aca="false">M15-SUM(M16:M20)</f>
        <v>427834.995</v>
      </c>
      <c r="N21" s="19" t="n">
        <f aca="false">SUM(B21:M21)</f>
        <v>4791735.74</v>
      </c>
    </row>
    <row r="22" customFormat="false" ht="15" hidden="false" customHeight="false" outlineLevel="0" collapsed="false">
      <c r="A22" s="4" t="s">
        <v>100</v>
      </c>
      <c r="B22" s="23" t="n">
        <f aca="false">IFERROR(B21/B15,0)</f>
        <v>0.510649371238412</v>
      </c>
      <c r="C22" s="23" t="n">
        <f aca="false">IFERROR(C21/C15,0)</f>
        <v>0.520887448851084</v>
      </c>
      <c r="D22" s="23" t="n">
        <f aca="false">IFERROR(D21/D15,0)</f>
        <v>0.533649565899192</v>
      </c>
      <c r="E22" s="23" t="n">
        <f aca="false">IFERROR(E21/E15,0)</f>
        <v>0.541746442440784</v>
      </c>
      <c r="F22" s="23" t="n">
        <f aca="false">IFERROR(F21/F15,0)</f>
        <v>0.537346921254164</v>
      </c>
      <c r="G22" s="23" t="n">
        <f aca="false">IFERROR(G21/G15,0)</f>
        <v>0.536389441889202</v>
      </c>
      <c r="H22" s="23" t="n">
        <f aca="false">IFERROR(H21/H15,0)</f>
        <v>0.544182609865169</v>
      </c>
      <c r="I22" s="23" t="n">
        <f aca="false">IFERROR(I21/I15,0)</f>
        <v>0.556386665839486</v>
      </c>
      <c r="J22" s="23" t="n">
        <f aca="false">IFERROR(J21/J15,0)</f>
        <v>0.550331592911414</v>
      </c>
      <c r="K22" s="23" t="n">
        <f aca="false">IFERROR(K21/K15,0)</f>
        <v>0.553435290574807</v>
      </c>
      <c r="L22" s="23" t="n">
        <f aca="false">IFERROR(L21/L15,0)</f>
        <v>0.555819905727037</v>
      </c>
      <c r="M22" s="23" t="n">
        <f aca="false">IFERROR(M21/M15,0)</f>
        <v>0.542139050206485</v>
      </c>
      <c r="N22" s="23" t="n">
        <f aca="false">IFERROR(N21/N15,0)</f>
        <v>0.540695411914822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8" t="s">
        <v>103</v>
      </c>
      <c r="B3" s="8" t="s">
        <v>104</v>
      </c>
      <c r="C3" s="8" t="s">
        <v>105</v>
      </c>
      <c r="D3" s="8" t="s">
        <v>106</v>
      </c>
      <c r="E3" s="8" t="s">
        <v>107</v>
      </c>
      <c r="F3" s="8" t="s">
        <v>108</v>
      </c>
      <c r="G3" s="8" t="s">
        <v>109</v>
      </c>
      <c r="H3" s="8" t="s">
        <v>110</v>
      </c>
    </row>
    <row r="4" customFormat="false" ht="15" hidden="false" customHeight="false" outlineLevel="0" collapsed="false">
      <c r="A4" s="2" t="s">
        <v>111</v>
      </c>
      <c r="B4" s="2" t="s">
        <v>112</v>
      </c>
      <c r="C4" s="11" t="n">
        <v>3360</v>
      </c>
      <c r="D4" s="24" t="n">
        <v>25</v>
      </c>
      <c r="E4" s="15" t="n">
        <v>0.78</v>
      </c>
      <c r="F4" s="25" t="n">
        <f aca="false">D4*Assumptions!$B$13*Assumptions!$B$14*E4</f>
        <v>44.6395755</v>
      </c>
      <c r="G4" s="26" t="n">
        <f aca="false">IFERROR(C4/F4,0)</f>
        <v>75.2695329730454</v>
      </c>
      <c r="H4" s="27" t="n">
        <f aca="false">IFERROR(G4/SUMIFS($G$4:$G$12,$A$4:$A$12,"Our Portal",$B$4:$B$12,B4)-1,0)</f>
        <v>0.230769230769231</v>
      </c>
    </row>
    <row r="5" customFormat="false" ht="15" hidden="false" customHeight="false" outlineLevel="0" collapsed="false">
      <c r="A5" s="2" t="s">
        <v>113</v>
      </c>
      <c r="B5" s="2" t="s">
        <v>112</v>
      </c>
      <c r="C5" s="11" t="n">
        <v>4100</v>
      </c>
      <c r="D5" s="24" t="n">
        <v>30</v>
      </c>
      <c r="E5" s="15" t="n">
        <v>0.92</v>
      </c>
      <c r="F5" s="25" t="n">
        <f aca="false">D5*Assumptions!$B$13*Assumptions!$B$14*E5</f>
        <v>63.1821684</v>
      </c>
      <c r="G5" s="26" t="n">
        <f aca="false">IFERROR(C5/F5,0)</f>
        <v>64.891726634694</v>
      </c>
      <c r="H5" s="27" t="n">
        <f aca="false">IFERROR(G5/SUMIFS($G$4:$G$12,$A$4:$A$12,"Our Portal",$B$4:$B$12,B5)-1,0)</f>
        <v>0.0610766045548652</v>
      </c>
    </row>
    <row r="6" customFormat="false" ht="15" hidden="false" customHeight="false" outlineLevel="0" collapsed="false">
      <c r="A6" s="2" t="s">
        <v>114</v>
      </c>
      <c r="B6" s="2" t="s">
        <v>112</v>
      </c>
      <c r="C6" s="11" t="n">
        <v>3500</v>
      </c>
      <c r="D6" s="24" t="n">
        <v>25</v>
      </c>
      <c r="E6" s="15" t="n">
        <v>1</v>
      </c>
      <c r="F6" s="25" t="n">
        <f aca="false">D6*Assumptions!$B$13*Assumptions!$B$14*E6</f>
        <v>57.230225</v>
      </c>
      <c r="G6" s="26" t="n">
        <f aca="false">IFERROR(C6/F6,0)</f>
        <v>61.1564955405994</v>
      </c>
      <c r="H6" s="27" t="n">
        <f aca="false">IFERROR(G6/SUMIFS($G$4:$G$12,$A$4:$A$12,"Our Portal",$B$4:$B$12,B6)-1,0)</f>
        <v>0</v>
      </c>
    </row>
    <row r="7" customFormat="false" ht="15" hidden="false" customHeight="false" outlineLevel="0" collapsed="false">
      <c r="A7" s="2" t="s">
        <v>111</v>
      </c>
      <c r="B7" s="2" t="s">
        <v>115</v>
      </c>
      <c r="C7" s="11" t="n">
        <v>7240</v>
      </c>
      <c r="D7" s="24" t="n">
        <v>55</v>
      </c>
      <c r="E7" s="15" t="n">
        <v>0.78</v>
      </c>
      <c r="F7" s="25" t="n">
        <f aca="false">D7*Assumptions!$B$13*Assumptions!$B$14*E7</f>
        <v>98.2070661</v>
      </c>
      <c r="G7" s="26" t="n">
        <f aca="false">IFERROR(C7/F7,0)</f>
        <v>73.7217828361538</v>
      </c>
      <c r="H7" s="27" t="n">
        <f aca="false">IFERROR(G7/SUMIFS($G$4:$G$12,$A$4:$A$12,"Our Portal",$B$4:$B$12,B7)-1,0)</f>
        <v>0.35011655011655</v>
      </c>
    </row>
    <row r="8" customFormat="false" ht="15" hidden="false" customHeight="false" outlineLevel="0" collapsed="false">
      <c r="A8" s="2" t="s">
        <v>113</v>
      </c>
      <c r="B8" s="2" t="s">
        <v>115</v>
      </c>
      <c r="C8" s="11" t="n">
        <v>8820</v>
      </c>
      <c r="D8" s="24" t="n">
        <v>70</v>
      </c>
      <c r="E8" s="15" t="n">
        <v>0.92</v>
      </c>
      <c r="F8" s="25" t="n">
        <f aca="false">D8*Assumptions!$B$13*Assumptions!$B$14*E8</f>
        <v>147.4250596</v>
      </c>
      <c r="G8" s="26" t="n">
        <f aca="false">IFERROR(C8/F8,0)</f>
        <v>59.8270065071081</v>
      </c>
      <c r="H8" s="27" t="n">
        <f aca="false">IFERROR(G8/SUMIFS($G$4:$G$12,$A$4:$A$12,"Our Portal",$B$4:$B$12,B8)-1,0)</f>
        <v>0.0956521739130434</v>
      </c>
    </row>
    <row r="9" customFormat="false" ht="15" hidden="false" customHeight="false" outlineLevel="0" collapsed="false">
      <c r="A9" s="2" t="s">
        <v>114</v>
      </c>
      <c r="B9" s="2" t="s">
        <v>115</v>
      </c>
      <c r="C9" s="11" t="n">
        <v>7500</v>
      </c>
      <c r="D9" s="24" t="n">
        <v>60</v>
      </c>
      <c r="E9" s="15" t="n">
        <v>1</v>
      </c>
      <c r="F9" s="25" t="n">
        <f aca="false">D9*Assumptions!$B$13*Assumptions!$B$14*E9</f>
        <v>137.35254</v>
      </c>
      <c r="G9" s="26" t="n">
        <f aca="false">IFERROR(C9/F9,0)</f>
        <v>54.6040138755352</v>
      </c>
      <c r="H9" s="27" t="n">
        <f aca="false">IFERROR(G9/SUMIFS($G$4:$G$12,$A$4:$A$12,"Our Portal",$B$4:$B$12,B9)-1,0)</f>
        <v>0</v>
      </c>
    </row>
    <row r="10" customFormat="false" ht="15" hidden="false" customHeight="false" outlineLevel="0" collapsed="false">
      <c r="A10" s="2" t="s">
        <v>111</v>
      </c>
      <c r="B10" s="2" t="s">
        <v>116</v>
      </c>
      <c r="C10" s="11" t="n">
        <v>14180</v>
      </c>
      <c r="D10" s="24" t="n">
        <v>120</v>
      </c>
      <c r="E10" s="15" t="n">
        <v>0.78</v>
      </c>
      <c r="F10" s="25" t="n">
        <f aca="false">D10*Assumptions!$B$13*Assumptions!$B$14*E10</f>
        <v>214.2699624</v>
      </c>
      <c r="G10" s="26" t="n">
        <f aca="false">IFERROR(C10/F10,0)</f>
        <v>66.1781980132554</v>
      </c>
      <c r="H10" s="27" t="n">
        <f aca="false">IFERROR(G10/SUMIFS($G$4:$G$12,$A$4:$A$12,"Our Portal",$B$4:$B$12,B10)-1,0)</f>
        <v>0.514957264957265</v>
      </c>
    </row>
    <row r="11" customFormat="false" ht="15" hidden="false" customHeight="false" outlineLevel="0" collapsed="false">
      <c r="A11" s="2" t="s">
        <v>113</v>
      </c>
      <c r="B11" s="2" t="s">
        <v>116</v>
      </c>
      <c r="C11" s="11" t="n">
        <v>18380</v>
      </c>
      <c r="D11" s="24" t="n">
        <v>180</v>
      </c>
      <c r="E11" s="15" t="n">
        <v>0.92</v>
      </c>
      <c r="F11" s="25" t="n">
        <f aca="false">D11*Assumptions!$B$13*Assumptions!$B$14*E11</f>
        <v>379.0930104</v>
      </c>
      <c r="G11" s="26" t="n">
        <f aca="false">IFERROR(C11/F11,0)</f>
        <v>48.4841437213689</v>
      </c>
      <c r="H11" s="27" t="n">
        <f aca="false">IFERROR(G11/SUMIFS($G$4:$G$12,$A$4:$A$12,"Our Portal",$B$4:$B$12,B11)-1,0)</f>
        <v>0.109903381642512</v>
      </c>
    </row>
    <row r="12" customFormat="false" ht="15" hidden="false" customHeight="false" outlineLevel="0" collapsed="false">
      <c r="A12" s="2" t="s">
        <v>114</v>
      </c>
      <c r="B12" s="2" t="s">
        <v>116</v>
      </c>
      <c r="C12" s="11" t="n">
        <v>15000</v>
      </c>
      <c r="D12" s="24" t="n">
        <v>150</v>
      </c>
      <c r="E12" s="15" t="n">
        <v>1</v>
      </c>
      <c r="F12" s="25" t="n">
        <f aca="false">D12*Assumptions!$B$13*Assumptions!$B$14*E12</f>
        <v>343.38135</v>
      </c>
      <c r="G12" s="26" t="n">
        <f aca="false">IFERROR(C12/F12,0)</f>
        <v>43.6832111004281</v>
      </c>
      <c r="H12" s="27" t="n">
        <f aca="false">IFERROR(G12/SUMIFS($G$4:$G$12,$A$4:$A$12,"Our Portal",$B$4:$B$12,B12)-1,0)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2026-09-30T19:06:02Z</dcterms:created>
  <dc:creator>openpyxl</dc:creator>
  <dc:description/>
  <dc:language>en-US</dc:language>
  <cp:lastModifiedBy/>
  <dcterms:modified xsi:type="dcterms:W3CDTF">2026-09-30T19:06:03Z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